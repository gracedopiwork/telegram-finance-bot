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" sheetId="1" state="visible" r:id="rId3"/>
    <sheet name="Baseline" sheetId="2" state="visible" r:id="rId4"/>
    <sheet name="Financial Health Dashboard" sheetId="3" state="visible" r:id="rId5"/>
    <sheet name="Behavioral Financial Dashboard" sheetId="4" state="visible" r:id="rId6"/>
    <sheet name="Kategori_Mappin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<sst xmlns="http://schemas.openxmlformats.org/spreadsheetml/2006/main" count="1200" uniqueCount="442">
  <si>
    <t xml:space="preserve">YFD FIRST AID TOOLS </t>
  </si>
  <si>
    <t xml:space="preserve">BUILDING FINANCIALLY HEALTHY GENERATION </t>
  </si>
  <si>
    <t xml:space="preserve">WHY DO PEOPLE TAKE CARE OF THEIR HEALTH, BUT NOT THEIR FINANCIAL HEALTH?</t>
  </si>
  <si>
    <t xml:space="preserve">First Financial Health Center Indonesia </t>
  </si>
  <si>
    <t xml:space="preserve">UBAH POLA PIKIR, PERBAIKI KEBIASAAN, DISIPLIN, WUJUDKAN MASA DEPAN</t>
  </si>
  <si>
    <t xml:space="preserve">YFD BASELINE </t>
  </si>
  <si>
    <t xml:space="preserve">No</t>
  </si>
  <si>
    <t xml:space="preserve">Tanggal</t>
  </si>
  <si>
    <t xml:space="preserve">Jenis </t>
  </si>
  <si>
    <t xml:space="preserve">Nominal</t>
  </si>
  <si>
    <t xml:space="preserve">Kategori</t>
  </si>
  <si>
    <t xml:space="preserve">Sifat </t>
  </si>
  <si>
    <t xml:space="preserve">Impulsive</t>
  </si>
  <si>
    <t xml:space="preserve">Mood Spending</t>
  </si>
  <si>
    <t xml:space="preserve">Keterangan</t>
  </si>
  <si>
    <t xml:space="preserve">Bucket</t>
  </si>
  <si>
    <t xml:space="preserve">Pemasukan</t>
  </si>
  <si>
    <t xml:space="preserve">Gaji</t>
  </si>
  <si>
    <t xml:space="preserve">UD BHM April</t>
  </si>
  <si>
    <t xml:space="preserve">Pengeluaran</t>
  </si>
  <si>
    <t xml:space="preserve">Admin bank</t>
  </si>
  <si>
    <t xml:space="preserve">Need</t>
  </si>
  <si>
    <t xml:space="preserve">Neutral</t>
  </si>
  <si>
    <t xml:space="preserve">BNI</t>
  </si>
  <si>
    <t xml:space="preserve">YFD</t>
  </si>
  <si>
    <t xml:space="preserve">YFD Telegram</t>
  </si>
  <si>
    <t xml:space="preserve">Sosial</t>
  </si>
  <si>
    <t xml:space="preserve">Behel mega</t>
  </si>
  <si>
    <t xml:space="preserve">Grab/maxime</t>
  </si>
  <si>
    <t xml:space="preserve">HR ke St Regis</t>
  </si>
  <si>
    <t xml:space="preserve">Skin care-beauty</t>
  </si>
  <si>
    <t xml:space="preserve">Stressed</t>
  </si>
  <si>
    <t xml:space="preserve">Body care</t>
  </si>
  <si>
    <t xml:space="preserve">Yes</t>
  </si>
  <si>
    <t xml:space="preserve">Exfoliating gloves</t>
  </si>
  <si>
    <t xml:space="preserve">Lain-lain</t>
  </si>
  <si>
    <t xml:space="preserve">Tiktok Live😱</t>
  </si>
  <si>
    <t xml:space="preserve">ST regis ke kos</t>
  </si>
  <si>
    <t xml:space="preserve">Kos ke kang abuy</t>
  </si>
  <si>
    <t xml:space="preserve">Networking</t>
  </si>
  <si>
    <t xml:space="preserve">Ketemu investor</t>
  </si>
  <si>
    <t xml:space="preserve">Wants</t>
  </si>
  <si>
    <t xml:space="preserve">Tired</t>
  </si>
  <si>
    <t xml:space="preserve">Ke BW </t>
  </si>
  <si>
    <t xml:space="preserve">Hiburan</t>
  </si>
  <si>
    <t xml:space="preserve">Makan stobery coco</t>
  </si>
  <si>
    <t xml:space="preserve">Minum bir sambil sunset</t>
  </si>
  <si>
    <t xml:space="preserve">Last lift</t>
  </si>
  <si>
    <t xml:space="preserve">BW ke kos</t>
  </si>
  <si>
    <t xml:space="preserve">Dipinjam</t>
  </si>
  <si>
    <t xml:space="preserve">Muen</t>
  </si>
  <si>
    <t xml:space="preserve">Muen bayar hutang</t>
  </si>
  <si>
    <t xml:space="preserve">Ke TM cangguh</t>
  </si>
  <si>
    <t xml:space="preserve">Fund Adds FB</t>
  </si>
  <si>
    <t xml:space="preserve">Makanan</t>
  </si>
  <si>
    <t xml:space="preserve">Happy</t>
  </si>
  <si>
    <t xml:space="preserve">Makan malam jaga canggu</t>
  </si>
  <si>
    <t xml:space="preserve">Sad</t>
  </si>
  <si>
    <t xml:space="preserve">Makan pagi Korner</t>
  </si>
  <si>
    <t xml:space="preserve">Gaji TM April 2026</t>
  </si>
  <si>
    <t xml:space="preserve">Glimme exfoliating</t>
  </si>
  <si>
    <t xml:space="preserve">TM canggu ke kos</t>
  </si>
  <si>
    <t xml:space="preserve">shampo</t>
  </si>
  <si>
    <t xml:space="preserve">Kopi st regist</t>
  </si>
  <si>
    <t xml:space="preserve">Kue manco</t>
  </si>
  <si>
    <t xml:space="preserve">Kos ke St regist</t>
  </si>
  <si>
    <t xml:space="preserve">Asuransi</t>
  </si>
  <si>
    <t xml:space="preserve">IP ay</t>
  </si>
  <si>
    <t xml:space="preserve">bpjs kesehatan Mei</t>
  </si>
  <si>
    <t xml:space="preserve">Dividen</t>
  </si>
  <si>
    <t xml:space="preserve">SIDO</t>
  </si>
  <si>
    <t xml:space="preserve">Grab ke londry</t>
  </si>
  <si>
    <t xml:space="preserve">Naspad</t>
  </si>
  <si>
    <t xml:space="preserve">Pakaian</t>
  </si>
  <si>
    <t xml:space="preserve">Laundry baju selimut</t>
  </si>
  <si>
    <t xml:space="preserve">Kos ke TM Canggu</t>
  </si>
  <si>
    <t xml:space="preserve">Nasi lalapan ayam</t>
  </si>
  <si>
    <t xml:space="preserve">BBRI</t>
  </si>
  <si>
    <t xml:space="preserve">TM canggu ke westin</t>
  </si>
  <si>
    <t xml:space="preserve">Tip grab</t>
  </si>
  <si>
    <t xml:space="preserve">Krim penghilang bulu</t>
  </si>
  <si>
    <t xml:space="preserve">Jajan laguna</t>
  </si>
  <si>
    <t xml:space="preserve">INVESTASI</t>
  </si>
  <si>
    <t xml:space="preserve">Angry</t>
  </si>
  <si>
    <t xml:space="preserve">Avg down BBCA</t>
  </si>
  <si>
    <t xml:space="preserve">Avg down BBRI</t>
  </si>
  <si>
    <t xml:space="preserve">Softex</t>
  </si>
  <si>
    <t xml:space="preserve">Makan jajan air</t>
  </si>
  <si>
    <t xml:space="preserve">Laguna ke kos</t>
  </si>
  <si>
    <t xml:space="preserve">Kos ke The meru</t>
  </si>
  <si>
    <t xml:space="preserve">Kopi the meru</t>
  </si>
  <si>
    <t xml:space="preserve">The meru ke kos</t>
  </si>
  <si>
    <t xml:space="preserve">Bridesmide egy </t>
  </si>
  <si>
    <t xml:space="preserve">Kos ke TM seminyak</t>
  </si>
  <si>
    <t xml:space="preserve">Makan brunch</t>
  </si>
  <si>
    <t xml:space="preserve">Lalapan lele </t>
  </si>
  <si>
    <t xml:space="preserve">Lavojoi body serum</t>
  </si>
  <si>
    <t xml:space="preserve">Treatment (massage, scrub, mnicure, pedicure, potong rambut, masker rambut)</t>
  </si>
  <si>
    <t xml:space="preserve">Tip treatment niki salon</t>
  </si>
  <si>
    <t xml:space="preserve">TM seminyak ke kos</t>
  </si>
  <si>
    <t xml:space="preserve">Kos ke GKI</t>
  </si>
  <si>
    <t xml:space="preserve">Persembahan</t>
  </si>
  <si>
    <t xml:space="preserve">Ibadah kenaikan</t>
  </si>
  <si>
    <t xml:space="preserve">Richesee factory </t>
  </si>
  <si>
    <t xml:space="preserve">seblak</t>
  </si>
  <si>
    <t xml:space="preserve">GKI Ke salon niki</t>
  </si>
  <si>
    <t xml:space="preserve">Niki salon ke kos</t>
  </si>
  <si>
    <t xml:space="preserve">Facebody spray uv shield</t>
  </si>
  <si>
    <t xml:space="preserve">Tahu isi</t>
  </si>
  <si>
    <t xml:space="preserve">batagor tahu</t>
  </si>
  <si>
    <t xml:space="preserve">Tip dri pasien</t>
  </si>
  <si>
    <t xml:space="preserve">Subs Grab</t>
  </si>
  <si>
    <t xml:space="preserve">TM canggu ke Laguna</t>
  </si>
  <si>
    <t xml:space="preserve">Lale</t>
  </si>
  <si>
    <t xml:space="preserve">Subscription</t>
  </si>
  <si>
    <t xml:space="preserve">IG centang</t>
  </si>
  <si>
    <t xml:space="preserve">Bra off shoulders</t>
  </si>
  <si>
    <t xml:space="preserve">WS ke kos</t>
  </si>
  <si>
    <t xml:space="preserve">Laundry</t>
  </si>
  <si>
    <t xml:space="preserve">Yankes diamed</t>
  </si>
  <si>
    <t xml:space="preserve">Makan sehari</t>
  </si>
  <si>
    <t xml:space="preserve">Adds tiktok</t>
  </si>
  <si>
    <t xml:space="preserve">Anting</t>
  </si>
  <si>
    <t xml:space="preserve">Rumah</t>
  </si>
  <si>
    <t xml:space="preserve">Kos mei juni</t>
  </si>
  <si>
    <t xml:space="preserve">TM canggu ke The Meru sanur</t>
  </si>
  <si>
    <t xml:space="preserve">OC be health april</t>
  </si>
  <si>
    <t xml:space="preserve">jahit baju</t>
  </si>
  <si>
    <t xml:space="preserve">Tagihan</t>
  </si>
  <si>
    <t xml:space="preserve">CC april + muen</t>
  </si>
  <si>
    <t xml:space="preserve">Heels</t>
  </si>
  <si>
    <t xml:space="preserve">Kado egy</t>
  </si>
  <si>
    <t xml:space="preserve">TM seminyak ke HR</t>
  </si>
  <si>
    <t xml:space="preserve">Soesweet bali </t>
  </si>
  <si>
    <t xml:space="preserve">Pulsa</t>
  </si>
  <si>
    <t xml:space="preserve">Pulsa data ayuti IP</t>
  </si>
  <si>
    <t xml:space="preserve">HR ke TM smyk</t>
  </si>
  <si>
    <t xml:space="preserve">Jajan</t>
  </si>
  <si>
    <t xml:space="preserve">Sam sam merekak</t>
  </si>
  <si>
    <t xml:space="preserve">Transportasi</t>
  </si>
  <si>
    <t xml:space="preserve">Pesawat dps ke mks</t>
  </si>
  <si>
    <t xml:space="preserve">Aqua</t>
  </si>
  <si>
    <t xml:space="preserve">Ole ole Soesweet Bali</t>
  </si>
  <si>
    <t xml:space="preserve">ole ole bali banana</t>
  </si>
  <si>
    <t xml:space="preserve">Baju ratu ultah</t>
  </si>
  <si>
    <t xml:space="preserve">Baju hadiah anak fila</t>
  </si>
  <si>
    <t xml:space="preserve">Makan malam with lale roby mks</t>
  </si>
  <si>
    <t xml:space="preserve">Grab ke Bandara</t>
  </si>
  <si>
    <t xml:space="preserve">Bus ke trj</t>
  </si>
  <si>
    <t xml:space="preserve">Draiv</t>
  </si>
  <si>
    <t xml:space="preserve">Bridal shower</t>
  </si>
  <si>
    <t xml:space="preserve">Mega-kurnia</t>
  </si>
  <si>
    <t xml:space="preserve">mega kurnia</t>
  </si>
  <si>
    <t xml:space="preserve">Make up bridal shower</t>
  </si>
  <si>
    <t xml:space="preserve">Bakso babi jus spagetty</t>
  </si>
  <si>
    <t xml:space="preserve">Greja egy</t>
  </si>
  <si>
    <t xml:space="preserve">Kamar bride</t>
  </si>
  <si>
    <t xml:space="preserve">Hadiah</t>
  </si>
  <si>
    <t xml:space="preserve">Buah ambe</t>
  </si>
  <si>
    <t xml:space="preserve">Kebaya kurnia</t>
  </si>
  <si>
    <t xml:space="preserve">Skin care mega kurnia</t>
  </si>
  <si>
    <t xml:space="preserve">Meet up sinchan</t>
  </si>
  <si>
    <t xml:space="preserve">Bolu ketan tera</t>
  </si>
  <si>
    <t xml:space="preserve">Admin Bank</t>
  </si>
  <si>
    <t xml:space="preserve">Ngopi with sari </t>
  </si>
  <si>
    <t xml:space="preserve">Bensin lale</t>
  </si>
  <si>
    <t xml:space="preserve">YFD BASELINE — Financial Health Check-Up &amp; FTSA-32</t>
  </si>
  <si>
    <t xml:space="preserve">Diisi / diperbarui setiap 6 bulan. Sumber data untuk Sheet 2 (Financial Health Dashboard) dan Sheet 3 (Behavioral Dashboard).</t>
  </si>
  <si>
    <t xml:space="preserve">A. IDENTITY &amp; FINANCIAL STAGE</t>
  </si>
  <si>
    <t xml:space="preserve">Last Check-up</t>
  </si>
  <si>
    <t xml:space="preserve">Next Review (auto, +6 bulan)</t>
  </si>
  <si>
    <t xml:space="preserve">Current Goal</t>
  </si>
  <si>
    <t xml:space="preserve">(isi tujuan keuangan saat ini — belum diisi user)</t>
  </si>
  <si>
    <t xml:space="preserve">B. FINANCIAL STAGE SCORING (Knowing Your Financial Stage — 18 Pertanyaan)</t>
  </si>
  <si>
    <t xml:space="preserve">Catatan: skor mentah per pertanyaan belum tersedia dari user (baru hasil akhir). Field "Skor Manual" di bawah dipakai sebagai sumber utama saat ini.</t>
  </si>
  <si>
    <t xml:space="preserve">Pertanyaan (ringkas)</t>
  </si>
  <si>
    <t xml:space="preserve">Skor (0-4, isi manual / dari bot)</t>
  </si>
  <si>
    <t xml:space="preserve">Tanggungan selain diri sendiri</t>
  </si>
  <si>
    <t xml:space="preserve">Rata-rata pendapatan/bulan</t>
  </si>
  <si>
    <t xml:space="preserve">Pengeluaran vs pemasukan</t>
  </si>
  <si>
    <t xml:space="preserve">Frekuensi cashflow negatif</t>
  </si>
  <si>
    <t xml:space="preserve">Dana darurat</t>
  </si>
  <si>
    <t xml:space="preserve">Hutang konsumtif</t>
  </si>
  <si>
    <t xml:space="preserve">Proteksi kesehatan</t>
  </si>
  <si>
    <t xml:space="preserve">Asuransi jiwa</t>
  </si>
  <si>
    <t xml:space="preserve">Income protection / kondisi kritis</t>
  </si>
  <si>
    <t xml:space="preserve">Tabungan/aset kelola (di luar emergency fund)</t>
  </si>
  <si>
    <t xml:space="preserve">Investasi/tabungan hari tua</t>
  </si>
  <si>
    <t xml:space="preserve">Investasi high risk</t>
  </si>
  <si>
    <t xml:space="preserve">Passive income</t>
  </si>
  <si>
    <t xml:space="preserve">Cicilan produktif</t>
  </si>
  <si>
    <t xml:space="preserve">Warisan finansial</t>
  </si>
  <si>
    <t xml:space="preserve">TOTAL SKOR RAW (auto, dari 15-item di atas)</t>
  </si>
  <si>
    <t xml:space="preserve">Skor Manual Override</t>
  </si>
  <si>
    <t xml:space="preserve">Hasil check-up klinik: total 30 (raw 15-item belum diisi)</t>
  </si>
  <si>
    <t xml:space="preserve">Stage berdasarkan Total Skor (auto: pakai raw&gt;0, kalau tidak manual)</t>
  </si>
  <si>
    <t xml:space="preserve">FINANCIAL STAGE — FINAL (manual override, mis. dari hasil check-up klinik)</t>
  </si>
  <si>
    <t xml:space="preserve">Steady</t>
  </si>
  <si>
    <t xml:space="preserve">← Sel ini yang dipakai semua dashboard.</t>
  </si>
  <si>
    <t xml:space="preserve">C. BASELINE FINANCIAL DATA</t>
  </si>
  <si>
    <t xml:space="preserve">Average Monthly Income</t>
  </si>
  <si>
    <t xml:space="preserve">Emergency Fund (kondisi)</t>
  </si>
  <si>
    <t xml:space="preserve">3-5x pengeluaran bulanan</t>
  </si>
  <si>
    <t xml:space="preserve">Tabungan Non-Emergency</t>
  </si>
  <si>
    <t xml:space="preserve">(belum diisi user — default 0)</t>
  </si>
  <si>
    <t xml:space="preserve">Total Asset — Rincian</t>
  </si>
  <si>
    <t xml:space="preserve">Tanah</t>
  </si>
  <si>
    <t xml:space="preserve">Emas</t>
  </si>
  <si>
    <t xml:space="preserve">Saham</t>
  </si>
  <si>
    <t xml:space="preserve">TOTAL ASSET (auto)</t>
  </si>
  <si>
    <t xml:space="preserve">Total Investment (aset likuid produktif)</t>
  </si>
  <si>
    <t xml:space="preserve">(= Saham. Emas &amp; Tanah diperlakukan sbg aset, bukan investasi likuid.)</t>
  </si>
  <si>
    <t xml:space="preserve">Total Debt</t>
  </si>
  <si>
    <t xml:space="preserve">Dikonfirmasi user: tidak punya hutang. Total Debt = 0 (valid, bukan asumsi).</t>
  </si>
  <si>
    <t xml:space="preserve">D. PROTECTION</t>
  </si>
  <si>
    <t xml:space="preserve">Item</t>
  </si>
  <si>
    <t xml:space="preserve">Satuan</t>
  </si>
  <si>
    <t xml:space="preserve">x</t>
  </si>
  <si>
    <t xml:space="preserve">Setahun (auto)</t>
  </si>
  <si>
    <t xml:space="preserve">BPJS Kesehatan</t>
  </si>
  <si>
    <t xml:space="preserve">/bulan</t>
  </si>
  <si>
    <t xml:space="preserve">Unit Link (top up)</t>
  </si>
  <si>
    <t xml:space="preserve">/tahun</t>
  </si>
  <si>
    <t xml:space="preserve">Income Protection</t>
  </si>
  <si>
    <t xml:space="preserve">Asuransi Jiwa</t>
  </si>
  <si>
    <t xml:space="preserve">TOTAL PROTECTION / TAHUN (auto)</t>
  </si>
  <si>
    <t xml:space="preserve">TOTAL PROTECTION / BULAN (auto, setara)</t>
  </si>
  <si>
    <t xml:space="preserve">E. FTSA-32 — FINANCIAL TRAUMA SELF ASSESSMENT</t>
  </si>
  <si>
    <t xml:space="preserve">Skala 1-5 (1=Sangat Tidak Sesuai ... 5=Sangat Sesuai). Isi 32 item via bot/klinik. Jika belum tersedia, gunakan "Skor Manual Override" di akhir tiap domain.</t>
  </si>
  <si>
    <t xml:space="preserve">CHD — Control &amp; Hypervigilance Dysregulation (The Controller)</t>
  </si>
  <si>
    <t xml:space="preserve">Cemas jika tidak tahu detail kondisi keuangan</t>
  </si>
  <si>
    <t xml:space="preserve">Sulit mempercayakan keuangan ke orang lain</t>
  </si>
  <si>
    <t xml:space="preserve">Tidak aman tanpa kontrol penuh atas pengeluaran</t>
  </si>
  <si>
    <t xml:space="preserve">Sering memikirkan skenario keuangan terburuk</t>
  </si>
  <si>
    <t xml:space="preserve">Pengeluaran tak terduga = kehilangan kendali</t>
  </si>
  <si>
    <t xml:space="preserve">Memantau saldo/investasi berlebihan</t>
  </si>
  <si>
    <t xml:space="preserve">Sulit menikmati uang karena takut kehabisan</t>
  </si>
  <si>
    <t xml:space="preserve">Keamanan finansial = kontrol total</t>
  </si>
  <si>
    <t xml:space="preserve">TOTAL CHD (auto, dari 32-item)</t>
  </si>
  <si>
    <t xml:space="preserve">Skor Manual Override CHD (isi jika 8-item blm tersedia)</t>
  </si>
  <si>
    <t xml:space="preserve">Hasil baseline klinik: CHD = 32.</t>
  </si>
  <si>
    <t xml:space="preserve">TOTAL CHD — FINAL (auto: pakai raw kalau ada, kalau tidak pakai manual)</t>
  </si>
  <si>
    <t xml:space="preserve">Severity CHD (auto)</t>
  </si>
  <si>
    <t xml:space="preserve">RVD — Risk &amp; Volatility Avoidance Dysregulation (The Avoider)</t>
  </si>
  <si>
    <t xml:space="preserve">Menunda keputusan keuangan penting</t>
  </si>
  <si>
    <t xml:space="preserve">Menghindari melihat laporan keuangan</t>
  </si>
  <si>
    <t xml:space="preserve">Takut berinvestasi karena risiko</t>
  </si>
  <si>
    <t xml:space="preserve">Menyimpan uang tanpa strategi jangka panjang</t>
  </si>
  <si>
    <t xml:space="preserve">Ketidakpastian ekonomi membuat lumpuh</t>
  </si>
  <si>
    <t xml:space="preserve">Lebih memilih tidak tahu daripada hadapi kerugian</t>
  </si>
  <si>
    <t xml:space="preserve">Menunda diskusi finansial karena tidak nyaman</t>
  </si>
  <si>
    <t xml:space="preserve">Stres hanya dengan membicarakan uang</t>
  </si>
  <si>
    <t xml:space="preserve">TOTAL RVD (auto, dari 32-item)</t>
  </si>
  <si>
    <t xml:space="preserve">Skor Manual Override RVD (isi jika 8-item blm tersedia)</t>
  </si>
  <si>
    <t xml:space="preserve">Hasil baseline klinik: RVD = 16 (Regulasi Stabil, 8-16).</t>
  </si>
  <si>
    <t xml:space="preserve">TOTAL RVD — FINAL (auto: pakai raw kalau ada, kalau tidak pakai manual)</t>
  </si>
  <si>
    <t xml:space="preserve">Severity RVD (auto)</t>
  </si>
  <si>
    <t xml:space="preserve">SSD — Scarcity-Driven Safety Dysregulation (The Overworker)</t>
  </si>
  <si>
    <t xml:space="preserve">Harus terus bekerja agar merasa aman</t>
  </si>
  <si>
    <t xml:space="preserve">Sulit berhenti meski sudah cukup</t>
  </si>
  <si>
    <t xml:space="preserve">Nilai diri dikaitkan dengan produktivitas/penghasilan</t>
  </si>
  <si>
    <t xml:space="preserve">Merasa bersalah jika tidak menghasilkan uang</t>
  </si>
  <si>
    <t xml:space="preserve">Istirahat membuat tidak aman</t>
  </si>
  <si>
    <t xml:space="preserve">Takut kehilangan status/standar hidup</t>
  </si>
  <si>
    <t xml:space="preserve">Cemas jika tidak ada pemasukan aktif</t>
  </si>
  <si>
    <t xml:space="preserve">Keamanan hanya dari kerja keras tanpa henti</t>
  </si>
  <si>
    <t xml:space="preserve">TOTAL SSD (auto, dari 32-item)</t>
  </si>
  <si>
    <t xml:space="preserve">Skor Manual Override SSD (isi jika 8-item blm tersedia)</t>
  </si>
  <si>
    <t xml:space="preserve">Hasil baseline klinik: SSD = 40.</t>
  </si>
  <si>
    <t xml:space="preserve">TOTAL SSD — FINAL (auto: pakai raw kalau ada, kalau tidak pakai manual)</t>
  </si>
  <si>
    <t xml:space="preserve">Severity SSD (auto)</t>
  </si>
  <si>
    <t xml:space="preserve">ESD — Emotional Spending Dysregulation (The Impulsive)</t>
  </si>
  <si>
    <t xml:space="preserve">Belanja untuk memperbaiki suasana hati</t>
  </si>
  <si>
    <t xml:space="preserve">Menyesal setelah pembelian emosional</t>
  </si>
  <si>
    <t xml:space="preserve">Sulit menahan dorongan membeli</t>
  </si>
  <si>
    <t xml:space="preserve">Uang sebagai penghargaan diri sendiri</t>
  </si>
  <si>
    <t xml:space="preserve">Mengambil keputusan finansial saat emosi kuat</t>
  </si>
  <si>
    <t xml:space="preserve">Euforia saat belanja lalu rasa bersalah</t>
  </si>
  <si>
    <t xml:space="preserve">Sulit bedakan kebutuhan/keinginan saat stres</t>
  </si>
  <si>
    <t xml:space="preserve">Pengeluaran meningkat saat tidak stabil emosi</t>
  </si>
  <si>
    <t xml:space="preserve">TOTAL ESD (auto, dari 32-item)</t>
  </si>
  <si>
    <t xml:space="preserve">Skor Manual Override ESD (isi jika 8-item blm tersedia)</t>
  </si>
  <si>
    <t xml:space="preserve">Hasil baseline klinik: ESD = 24 (Mild Dysregulation, 17-24).</t>
  </si>
  <si>
    <t xml:space="preserve">TOTAL ESD — FINAL (auto: pakai raw kalau ada, kalau tidak pakai manual)</t>
  </si>
  <si>
    <t xml:space="preserve">Severity ESD (auto)</t>
  </si>
  <si>
    <t xml:space="preserve">F. FTSA-32 PROFILE SUMMARY (auto)</t>
  </si>
  <si>
    <t xml:space="preserve">Domain</t>
  </si>
  <si>
    <t xml:space="preserve">Skor Final</t>
  </si>
  <si>
    <t xml:space="preserve">Severity</t>
  </si>
  <si>
    <t xml:space="preserve">Assessed?</t>
  </si>
  <si>
    <t xml:space="preserve">(helper, tie-break)</t>
  </si>
  <si>
    <t xml:space="preserve">CHD</t>
  </si>
  <si>
    <t xml:space="preserve">RVD</t>
  </si>
  <si>
    <t xml:space="preserve">SSD</t>
  </si>
  <si>
    <t xml:space="preserve">ESD</t>
  </si>
  <si>
    <t xml:space="preserve">Dominant Pattern (skor tertinggi, auto)</t>
  </si>
  <si>
    <t xml:space="preserve">Co-Regulation Pattern — Urutan Lengkap (auto, tertinggi → terendah)</t>
  </si>
  <si>
    <t xml:space="preserve">Catatan: urutan ranking ditampilkan apa adanya termasuk domain yang belum dinilai (skor 0) — lihat kolom "Assessed?" di tabel atas untuk validitas.</t>
  </si>
  <si>
    <t xml:space="preserve">YFD FIRST AID — FINANCIAL HEALTH DASHBOARD</t>
  </si>
  <si>
    <t xml:space="preserve">Filter Periode (bulan):</t>
  </si>
  <si>
    <t xml:space="preserve">(helper: semua kategori &amp; total - jangan hapus)</t>
  </si>
  <si>
    <t xml:space="preserve">tie-break</t>
  </si>
  <si>
    <t xml:space="preserve">Ringkasan kondisi keuangan periode berjalan</t>
  </si>
  <si>
    <t xml:space="preserve">MaxDate (auto)</t>
  </si>
  <si>
    <t xml:space="preserve">StartDate (auto)</t>
  </si>
  <si>
    <t xml:space="preserve">CLINICAL SUMMARY</t>
  </si>
  <si>
    <t xml:space="preserve">Financial Stage</t>
  </si>
  <si>
    <t xml:space="preserve">Next Review</t>
  </si>
  <si>
    <t xml:space="preserve">FINANCIAL VITAL SIGN</t>
  </si>
  <si>
    <t xml:space="preserve">TOTAL PENDAPATAN</t>
  </si>
  <si>
    <t xml:space="preserve">TOTAL PENGELUARAN</t>
  </si>
  <si>
    <t xml:space="preserve">CASHFLOW (SURPLUS)</t>
  </si>
  <si>
    <t xml:space="preserve">SAVING RATE</t>
  </si>
  <si>
    <t xml:space="preserve">TOTAL TRANSAKSI</t>
  </si>
  <si>
    <t xml:space="preserve">BUDGET PRESCRIPTION (4 Bucket)</t>
  </si>
  <si>
    <t xml:space="preserve">Aktual</t>
  </si>
  <si>
    <t xml:space="preserve">% dari Income</t>
  </si>
  <si>
    <t xml:space="preserve">Ideal (%)</t>
  </si>
  <si>
    <t xml:space="preserve">Selisih</t>
  </si>
  <si>
    <t xml:space="preserve">Progress vs Ideal</t>
  </si>
  <si>
    <t xml:space="preserve">Status</t>
  </si>
  <si>
    <t xml:space="preserve">Tipe Target</t>
  </si>
  <si>
    <t xml:space="preserve">Essential Living</t>
  </si>
  <si>
    <t xml:space="preserve">Maksimal (makin rendah makin sehat)</t>
  </si>
  <si>
    <t xml:space="preserve">Future Building</t>
  </si>
  <si>
    <t xml:space="preserve">Minimal (makin tinggi makin sehat)</t>
  </si>
  <si>
    <t xml:space="preserve">Protection</t>
  </si>
  <si>
    <t xml:space="preserve">Maksimal (jangan melebihi)</t>
  </si>
  <si>
    <t xml:space="preserve">Flexible + Social</t>
  </si>
  <si>
    <t xml:space="preserve">TOTAL</t>
  </si>
  <si>
    <t xml:space="preserve">EXPENSE ANALYSIS — TOP KATEGORI</t>
  </si>
  <si>
    <t xml:space="preserve">FINANCIAL PROGRESS (BULANAN)</t>
  </si>
  <si>
    <t xml:space="preserve">Total</t>
  </si>
  <si>
    <t xml:space="preserve">% dari Total</t>
  </si>
  <si>
    <t xml:space="preserve">Bulan</t>
  </si>
  <si>
    <t xml:space="preserve">Pendapatan</t>
  </si>
  <si>
    <t xml:space="preserve">Cashflow</t>
  </si>
  <si>
    <t xml:space="preserve">FINANCIAL PULSE &amp; DOCTOR'S NOTE</t>
  </si>
  <si>
    <t xml:space="preserve">Financial Pulse Score (0-100, auto)</t>
  </si>
  <si>
    <t xml:space="preserve">Saving Rate Score</t>
  </si>
  <si>
    <t xml:space="preserve">Budget Adherence Score</t>
  </si>
  <si>
    <t xml:space="preserve">PULSE SCORE</t>
  </si>
  <si>
    <t xml:space="preserve">Doctor's Note (auto-generated, 3 poin)</t>
  </si>
  <si>
    <t xml:space="preserve">YFD FIRST AID — BEHAVIORAL FINANCIAL DASHBOARD</t>
  </si>
  <si>
    <t xml:space="preserve">(helper kategori impulsif)</t>
  </si>
  <si>
    <t xml:space="preserve">"Bukan sekadar kemana uangmu — tapi mengapa kamu sulit memegang uang."</t>
  </si>
  <si>
    <t xml:space="preserve">FTSA PROFILE</t>
  </si>
  <si>
    <t xml:space="preserve">Status Assessment</t>
  </si>
  <si>
    <t xml:space="preserve">Dominant Pattern</t>
  </si>
  <si>
    <t xml:space="preserve">Co-Regulation Pattern (urutan)</t>
  </si>
  <si>
    <t xml:space="preserve">Severity (Dominant Domain)</t>
  </si>
  <si>
    <t xml:space="preserve">Date Assessment</t>
  </si>
  <si>
    <t xml:space="preserve">MOOD DISTRIBUTION</t>
  </si>
  <si>
    <t xml:space="preserve">NEED vs WANT</t>
  </si>
  <si>
    <t xml:space="preserve">Mood</t>
  </si>
  <si>
    <t xml:space="preserve">Jumlah Transaksi</t>
  </si>
  <si>
    <t xml:space="preserve">Tipe</t>
  </si>
  <si>
    <t xml:space="preserve">Jumlah</t>
  </si>
  <si>
    <t xml:space="preserve">%</t>
  </si>
  <si>
    <t xml:space="preserve">IMPULSIVE SPENDING</t>
  </si>
  <si>
    <t xml:space="preserve">Jumlah Transaksi Impulsif</t>
  </si>
  <si>
    <t xml:space="preserve">Total Nominal Impulsif</t>
  </si>
  <si>
    <t xml:space="preserve">% dari Total Transaksi</t>
  </si>
  <si>
    <t xml:space="preserve">Top Kategori Impulsif</t>
  </si>
  <si>
    <t xml:space="preserve">MOOD SPENDING MATRIX</t>
  </si>
  <si>
    <t xml:space="preserve">Transaksi</t>
  </si>
  <si>
    <t xml:space="preserve">Total Spending</t>
  </si>
  <si>
    <t xml:space="preserve">Average / Transaksi</t>
  </si>
  <si>
    <t xml:space="preserve">% Impulsif</t>
  </si>
  <si>
    <t xml:space="preserve">BEHAVIORAL INSIGHT (auto, 3 poin)</t>
  </si>
  <si>
    <t xml:space="preserve">BEHAVIORAL RECOMMENDATION</t>
  </si>
  <si>
    <t xml:space="preserve">Mode</t>
  </si>
  <si>
    <t xml:space="preserve">Alasan / Konteks Transaksi Asli</t>
  </si>
  <si>
    <t xml:space="preserve">CATATAN: Tabel ini adalah sumber kebenaran (source of truth) kategori → bucket.</t>
  </si>
  <si>
    <t xml:space="preserve">Stage</t>
  </si>
  <si>
    <t xml:space="preserve">Income</t>
  </si>
  <si>
    <t xml:space="preserve">Pemasukan rutin — di luar bucket</t>
  </si>
  <si>
    <t xml:space="preserve">Saat AI kategorisasi via bot Telegram diaktifkan, AI HARUS hanya menghasilkan nilai Kategori yang ADA di kolom A tabel ini.</t>
  </si>
  <si>
    <t xml:space="preserve">Surviving</t>
  </si>
  <si>
    <t xml:space="preserve">Pemasukan investasi — di luar bucket</t>
  </si>
  <si>
    <t xml:space="preserve">Kategori baru yang muncul dari user harus ditambahkan ke tabel ini dulu (oleh tim YFD/AI prompt design) sebelum bisa terbaca otomatis oleh dashboard.</t>
  </si>
  <si>
    <t xml:space="preserve">Growing</t>
  </si>
  <si>
    <t xml:space="preserve">Pemasukan lain-lain — di luar bucket</t>
  </si>
  <si>
    <t xml:space="preserve">Comfortable</t>
  </si>
  <si>
    <t xml:space="preserve">Expense</t>
  </si>
  <si>
    <t xml:space="preserve">Biaya administrasi rekening — Pajak &amp; Administrasi (Essential)</t>
  </si>
  <si>
    <t xml:space="preserve">Cek konteks: "Fund Adds FB", "Adds tiktok" = biaya marketing/iklan usaha YFD → Bisnis (Future Building). BUKAN pengembangan diri pribadi.</t>
  </si>
  <si>
    <t xml:space="preserve">Tip, treatment, oleh-oleh, hadiah, bantu keluarga → Dana Sosial (Flexible+Social). PERLU DICEK: ada 1 transaksi "Yankes diamed" Rp250rb — kemungkinan biaya kesehatan, bukan sosial. Mohon konfirmasi.</t>
  </si>
  <si>
    <t xml:space="preserve">Transportasi rutin harian (kos↔lokasi kerja/aktivitas) → Essential Living</t>
  </si>
  <si>
    <t xml:space="preserve">Shopping/perawatan diri non-esensial → Flexible+Social</t>
  </si>
  <si>
    <t xml:space="preserve">Konteks: "Ketemu investor" → aktivitas bisnis → Future Building (Bisnis)</t>
  </si>
  <si>
    <t xml:space="preserve">Entertainment → Flexible+Social</t>
  </si>
  <si>
    <t xml:space="preserve">Transfer (Excluded)</t>
  </si>
  <si>
    <t xml:space="preserve">Transfer</t>
  </si>
  <si>
    <t xml:space="preserve">Uang dipinjamkan/dipinjam — bukan pengeluaran riil, dikecualikan dari bucket</t>
  </si>
  <si>
    <t xml:space="preserve">Kebutuhan dasar harian → Essential Living</t>
  </si>
  <si>
    <t xml:space="preserve">BPJS, Income Protection → Protection</t>
  </si>
  <si>
    <t xml:space="preserve">Shopping/Fashion → Flexible+Social</t>
  </si>
  <si>
    <t xml:space="preserve">Dicek: semua transaksi adalah pembelian saham (BBCA, BBRI) → Future Building murni, tidak ada top-up dana darurat tercampur</t>
  </si>
  <si>
    <t xml:space="preserve">Dana Sosial → Flexible+Social</t>
  </si>
  <si>
    <t xml:space="preserve">Lifestyle (streaming/grab subs) → Flexible+Social</t>
  </si>
  <si>
    <t xml:space="preserve">Tempat Tinggal → Essential Living</t>
  </si>
  <si>
    <t xml:space="preserve">Listrik/air/internet rumah → Essential Living</t>
  </si>
  <si>
    <t xml:space="preserve">Komunikasi → Essential Living</t>
  </si>
  <si>
    <t xml:space="preserve">Transportasi rutin → Essential Living</t>
  </si>
  <si>
    <t xml:space="preserve">Dikonfirmasi user: bantuan keluarga (kebaya, skincare, dana acara) → Dana Sosial (Flexible+Social)</t>
  </si>
  <si>
    <t xml:space="preserve">Gift → Flexible+Social</t>
  </si>
  <si>
    <t xml:space="preserve">Konteks: "Bensin lale" → BBM kendaraan → Essential Living</t>
  </si>
  <si>
    <t xml:space="preserve">DOKUMENTASI RESMI — DEFINISI BUCKET (acuan untuk AI kategorisasi &amp; tim YFD)</t>
  </si>
  <si>
    <t xml:space="preserve">Arah target tiap bucket terhadap % Income:</t>
  </si>
  <si>
    <t xml:space="preserve">MAKSIMAL — semakin rendah % nya, semakin sehat</t>
  </si>
  <si>
    <t xml:space="preserve">MINIMAL — semakin tinggi % nya, semakin sehat</t>
  </si>
  <si>
    <t xml:space="preserve">MAKSIMAL — jangan melebihi batas ideal per stage</t>
  </si>
  <si>
    <t xml:space="preserve">ESSENTIAL LIVING — pengeluaran mempertahankan kehidupan &amp; kemampuan bekerja hari ini</t>
  </si>
  <si>
    <t xml:space="preserve">   • Tempat Tinggal: sewa/cicilan rumah utama, IPL, listrik, air, internet rumah, gas</t>
  </si>
  <si>
    <t xml:space="preserve">   • Makanan: belanja dapur, makan harian, air minum</t>
  </si>
  <si>
    <t xml:space="preserve">   • Transportasi: BBM, tol, parkir, transportasi umum, ojol untuk aktivitas rutin</t>
  </si>
  <si>
    <t xml:space="preserve">   • Komunikasi: pulsa, paket data, internet HP</t>
  </si>
  <si>
    <t xml:space="preserve">   • Kesehatan: medical check up, dokter, obat, lab, vitamin rutin</t>
  </si>
  <si>
    <t xml:space="preserve">   • Pendidikan Wajib: uang sekolah, UKT, buku wajib</t>
  </si>
  <si>
    <t xml:space="preserve">   • Anak/Keluarga: susu bayi, popok, kebutuhan sekolah anak</t>
  </si>
  <si>
    <t xml:space="preserve">   • Pajak &amp; Administrasi: pajak kendaraan/rumah, admin bank</t>
  </si>
  <si>
    <t xml:space="preserve">FUTURE BUILDING — meningkatkan nilai aset / kapasitas menghasilkan uang di masa depan</t>
  </si>
  <si>
    <t xml:space="preserve">   • Investasi: saham, reksa dana, obligasi, emas, deposito, crypto (opsional)</t>
  </si>
  <si>
    <t xml:space="preserve">   • Pengembangan Diri: seminar, simposium, workshop, sertifikasi, pelatihan, kursus, buku, conference, riset</t>
  </si>
  <si>
    <t xml:space="preserve">   • Bisnis: modal usaha, marketing usaha (termasuk ads/iklan), website usaha, software usaha</t>
  </si>
  <si>
    <t xml:space="preserve">   • Pelunasan Utang Produktif: cicilan modal usaha</t>
  </si>
  <si>
    <t xml:space="preserve">PROTECTION — mengurangi risiko finansial</t>
  </si>
  <si>
    <t xml:space="preserve">   • Asuransi: BPJS, asuransi kesehatan, asuransi jiwa, income protection, critical illness</t>
  </si>
  <si>
    <t xml:space="preserve">   • Dana Darurat: TOP UP Emergency Fund masuk di sini (bukan Future Building/Investasi)</t>
  </si>
  <si>
    <t xml:space="preserve">FLEXIBLE + SOCIAL — meningkatkan kualitas hidup, bukan kebutuhan dasar</t>
  </si>
  <si>
    <t xml:space="preserve">   • Lifestyle: coffee, nongkrong, cafe, restoran, streaming, gaming</t>
  </si>
  <si>
    <t xml:space="preserve">   • Shopping: fashion, skin care, make up, gadget</t>
  </si>
  <si>
    <t xml:space="preserve">   • Traveling: liburan, staycation</t>
  </si>
  <si>
    <t xml:space="preserve">   • Entertainment: bioskop, konser, hobi</t>
  </si>
  <si>
    <t xml:space="preserve">   • Gift: hadiah, ulang tahun</t>
  </si>
  <si>
    <t xml:space="preserve">   • Dana Sosial: donasi, persembahan, perpuluhan, bantu ortu/saudara/teman, sedekah</t>
  </si>
  <si>
    <t xml:space="preserve">KASUS ABU-ABU YANG DISEPAKATI (contoh aturan kontekstual):</t>
  </si>
  <si>
    <t xml:space="preserve">   • Starbucks — meeting kerja: Essential Living. Healing: Flexible.</t>
  </si>
  <si>
    <t xml:space="preserve">   • Laptop — untuk kerja: Future Building. Upgrade krn FOMO: Flexible.</t>
  </si>
  <si>
    <t xml:space="preserve">   • Handphone — HP utama rusak: Essential. Ganti tiap tahun: Flexible.</t>
  </si>
  <si>
    <t xml:space="preserve">   • Mobil — DP mobil pribadi: Asset (dicatat di Baseline, bukan transaksi bucket). Cicilan utk kebutuhan utama: Essential Living.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</si>
</sst>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/mm/yyyy"/>
    <numFmt numFmtId="166" formatCode="#,##0"/>
    <numFmt numFmtId="167" formatCode="mmmm\ yyyy"/>
    <numFmt numFmtId="168" formatCode="0"/>
    <numFmt numFmtId="169" formatCode="0.0%"/>
    <numFmt numFmtId="170" formatCode="0%"/>
    <numFmt numFmtId="171" formatCode="\+0.0%;\-0.0%"/>
    <numFmt numFmtId="172" formatCode="mmm\ yy"/>
    <numFmt numFmtId="173" formatCode="General"/>
  </numFmts>
  <fonts count="2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FF0000"/>
      <name val="Arial"/>
      <family val="2"/>
      <charset val="1"/>
    </font>
    <font>
      <sz val="1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6"/>
      <color rgb="FF1F3864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2"/>
      <color rgb="FF1F3864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i val="true"/>
      <sz val="8"/>
      <color rgb="FF808080"/>
      <name val="Cambria"/>
      <family val="0"/>
      <charset val="1"/>
    </font>
    <font>
      <b val="true"/>
      <sz val="12"/>
      <color rgb="FFC00000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9"/>
      <color rgb="FF595959"/>
      <name val="Cambria"/>
      <family val="0"/>
      <charset val="1"/>
    </font>
    <font>
      <b val="true"/>
      <sz val="20"/>
      <color rgb="FFC0000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C00000"/>
      <name val="Cambria"/>
      <family val="0"/>
      <charset val="1"/>
    </font>
    <font>
      <b val="true"/>
      <sz val="13"/>
      <color rgb="FF1F3864"/>
      <name val="Cambria"/>
      <family val="0"/>
      <charset val="1"/>
    </font>
    <font>
      <b val="true"/>
      <sz val="13"/>
      <color rgb="FFC00000"/>
      <name val="Cambria"/>
      <family val="0"/>
      <charset val="1"/>
    </font>
    <font>
      <b val="true"/>
      <i val="true"/>
      <sz val="11"/>
      <name val="Cambria"/>
      <family val="0"/>
      <charset val="1"/>
    </font>
    <font>
      <i val="true"/>
      <sz val="11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D9D9D9"/>
      </patternFill>
    </fill>
    <fill>
      <patternFill patternType="solid">
        <fgColor rgb="FF1F3864"/>
        <bgColor rgb="FF333399"/>
      </patternFill>
    </fill>
    <fill>
      <patternFill patternType="solid">
        <fgColor rgb="FFFFF2CC"/>
        <bgColor rgb="FFFFFFFF"/>
      </patternFill>
    </fill>
    <fill>
      <patternFill patternType="solid">
        <fgColor rgb="FF2E75B6"/>
        <bgColor rgb="FF4472C4"/>
      </patternFill>
    </fill>
    <fill>
      <patternFill patternType="solid">
        <fgColor rgb="FFBF8F00"/>
        <bgColor rgb="FFE3AB00"/>
      </patternFill>
    </fill>
    <fill>
      <patternFill patternType="solid">
        <fgColor rgb="FFC00000"/>
        <bgColor rgb="FFFF0000"/>
      </patternFill>
    </fill>
    <fill>
      <patternFill patternType="solid">
        <fgColor rgb="FF548235"/>
        <bgColor rgb="FF639A3F"/>
      </patternFill>
    </fill>
    <fill>
      <patternFill patternType="solid">
        <fgColor rgb="FF0F6E5F"/>
        <bgColor rgb="FF2E75B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F6E5F"/>
      <rgbColor rgb="FFBFBFBF"/>
      <rgbColor rgb="FF808080"/>
      <rgbColor rgb="FF90A2D3"/>
      <rgbColor rgb="FF993366"/>
      <rgbColor rgb="FFFFF2CC"/>
      <rgbColor rgb="FFCCFFFF"/>
      <rgbColor rgb="FF660066"/>
      <rgbColor rgb="FFD36F2B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518ABD"/>
      <rgbColor rgb="FF0000FF"/>
      <rgbColor rgb="FF00CCFF"/>
      <rgbColor rgb="FFCCFFFF"/>
      <rgbColor rgb="FFD9D9D9"/>
      <rgbColor rgb="FFFFFF99"/>
      <rgbColor rgb="FFB3B3B3"/>
      <rgbColor rgb="FFF1A78B"/>
      <rgbColor rgb="FFA5A5A5"/>
      <rgbColor rgb="FFFFD087"/>
      <rgbColor rgb="FF4472C4"/>
      <rgbColor rgb="FF5B9BD5"/>
      <rgbColor rgb="FF70AD47"/>
      <rgbColor rgb="FFFFC000"/>
      <rgbColor rgb="FFE3AB00"/>
      <rgbColor rgb="FFED7D31"/>
      <rgbColor rgb="FF3C65AE"/>
      <rgbColor rgb="FF929292"/>
      <rgbColor rgb="FF1F3864"/>
      <rgbColor rgb="FF639A3F"/>
      <rgbColor rgb="FF003300"/>
      <rgbColor rgb="FF333300"/>
      <rgbColor rgb="FFBF8F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Expense Categories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'Financial Health Dashboard'!C21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3c65ae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36f2b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29292"/>
              </a:solidFill>
              <a:ln w="0">
                <a:noFill/>
              </a:ln>
            </c:spPr>
          </c:dPt>
          <c:dPt>
            <c:idx val="3"/>
            <c:spPr>
              <a:solidFill>
                <a:srgbClr val="e3ab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518abd"/>
              </a:solidFill>
              <a:ln w="0">
                <a:noFill/>
              </a:ln>
            </c:spPr>
          </c:dPt>
          <c:dPt>
            <c:idx val="5"/>
            <c:spPr>
              <a:solidFill>
                <a:srgbClr val="639a3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0a2d3"/>
              </a:solidFill>
              <a:ln w="0">
                <a:noFill/>
              </a:ln>
            </c:spPr>
          </c:dPt>
          <c:dPt>
            <c:idx val="7"/>
            <c:spPr>
              <a:solidFill>
                <a:srgbClr val="f1a78b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fbfbf"/>
              </a:solidFill>
              <a:ln w="0">
                <a:noFill/>
              </a:ln>
            </c:spPr>
          </c:dPt>
          <c:dPt>
            <c:idx val="9"/>
            <c:spPr>
              <a:solidFill>
                <a:srgbClr val="ffd087"/>
              </a:solidFill>
              <a:ln w="0">
                <a:noFill/>
              </a:ln>
            </c:spPr>
          </c:dPt>
          <c:dLbls>
            <c:numFmt formatCode="#,##0" sourceLinked="1"/>
            <c:dLbl>
              <c:idx val="0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'Financial Health Dashboard'!$B$22:$B$31</c:f>
              <c:strCache>
                <c:ptCount val="10"/>
                <c:pt idx="0">
                  <c:v>INVESTASI</c:v>
                </c:pt>
                <c:pt idx="1">
                  <c:v>Tagihan</c:v>
                </c:pt>
                <c:pt idx="2">
                  <c:v>Sosial</c:v>
                </c:pt>
                <c:pt idx="3">
                  <c:v>Rumah</c:v>
                </c:pt>
                <c:pt idx="4">
                  <c:v>Transportasi</c:v>
                </c:pt>
                <c:pt idx="5">
                  <c:v>Skin care-beauty</c:v>
                </c:pt>
                <c:pt idx="6">
                  <c:v>Makanan</c:v>
                </c:pt>
                <c:pt idx="7">
                  <c:v>Grab/maxime</c:v>
                </c:pt>
                <c:pt idx="8">
                  <c:v>Mega-kurnia</c:v>
                </c:pt>
                <c:pt idx="9">
                  <c:v>Pakaian</c:v>
                </c:pt>
              </c:strCache>
            </c:strRef>
          </c:cat>
          <c:val>
            <c:numRef>
              <c:f>'Financial Health Dashboard'!$C$22:$C$31</c:f>
              <c:numCache>
                <c:formatCode>#,##0</c:formatCode>
                <c:ptCount val="10"/>
                <c:pt idx="0">
                  <c:v>6390000</c:v>
                </c:pt>
                <c:pt idx="1">
                  <c:v>3601629</c:v>
                </c:pt>
                <c:pt idx="2">
                  <c:v>3377085</c:v>
                </c:pt>
                <c:pt idx="3">
                  <c:v>2116000</c:v>
                </c:pt>
                <c:pt idx="4">
                  <c:v>2099485</c:v>
                </c:pt>
                <c:pt idx="5">
                  <c:v>1340989</c:v>
                </c:pt>
                <c:pt idx="6">
                  <c:v>1263690</c:v>
                </c:pt>
                <c:pt idx="7">
                  <c:v>1220900</c:v>
                </c:pt>
                <c:pt idx="8">
                  <c:v>1050000</c:v>
                </c:pt>
                <c:pt idx="9">
                  <c:v>959145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Financial Progress (12 Bulan)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'Financial Health Dashboard'!H21</c:f>
              <c:strCache>
                <c:ptCount val="1"/>
                <c:pt idx="0">
                  <c:v>Pendapatan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'Financial Health Dashboard'!$G$22:$G$33</c:f>
              <c:strCache>
                <c:ptCount val="12"/>
                <c:pt idx="0">
                  <c:v>Jun 25</c:v>
                </c:pt>
                <c:pt idx="1">
                  <c:v>Jul 25</c:v>
                </c:pt>
                <c:pt idx="2">
                  <c:v>Aug 25</c:v>
                </c:pt>
                <c:pt idx="3">
                  <c:v>Sep 25</c:v>
                </c:pt>
                <c:pt idx="4">
                  <c:v>Oct 25</c:v>
                </c:pt>
                <c:pt idx="5">
                  <c:v>Nov 25</c:v>
                </c:pt>
                <c:pt idx="6">
                  <c:v>Dec 25</c:v>
                </c:pt>
                <c:pt idx="7">
                  <c:v>Jan 26</c:v>
                </c:pt>
                <c:pt idx="8">
                  <c:v>Feb 26</c:v>
                </c:pt>
                <c:pt idx="9">
                  <c:v>Mar 26</c:v>
                </c:pt>
                <c:pt idx="10">
                  <c:v>Apr 26</c:v>
                </c:pt>
                <c:pt idx="11">
                  <c:v>May 26</c:v>
                </c:pt>
              </c:strCache>
            </c:strRef>
          </c:cat>
          <c:val>
            <c:numRef>
              <c:f>'Financial Health Dashboard'!$H$22:$H$33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31124475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'Financial Health Dashboard'!I21</c:f>
              <c:strCache>
                <c:ptCount val="1"/>
                <c:pt idx="0">
                  <c:v>Pengeluaran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'Financial Health Dashboard'!$G$22:$G$33</c:f>
              <c:strCache>
                <c:ptCount val="12"/>
                <c:pt idx="0">
                  <c:v>Jun 25</c:v>
                </c:pt>
                <c:pt idx="1">
                  <c:v>Jul 25</c:v>
                </c:pt>
                <c:pt idx="2">
                  <c:v>Aug 25</c:v>
                </c:pt>
                <c:pt idx="3">
                  <c:v>Sep 25</c:v>
                </c:pt>
                <c:pt idx="4">
                  <c:v>Oct 25</c:v>
                </c:pt>
                <c:pt idx="5">
                  <c:v>Nov 25</c:v>
                </c:pt>
                <c:pt idx="6">
                  <c:v>Dec 25</c:v>
                </c:pt>
                <c:pt idx="7">
                  <c:v>Jan 26</c:v>
                </c:pt>
                <c:pt idx="8">
                  <c:v>Feb 26</c:v>
                </c:pt>
                <c:pt idx="9">
                  <c:v>Mar 26</c:v>
                </c:pt>
                <c:pt idx="10">
                  <c:v>Apr 26</c:v>
                </c:pt>
                <c:pt idx="11">
                  <c:v>May 26</c:v>
                </c:pt>
              </c:strCache>
            </c:strRef>
          </c:cat>
          <c:val>
            <c:numRef>
              <c:f>'Financial Health Dashboard'!$I$22:$I$33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25295237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'Financial Health Dashboard'!J21</c:f>
              <c:strCache>
                <c:ptCount val="1"/>
                <c:pt idx="0">
                  <c:v>Cashflow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'Financial Health Dashboard'!$G$22:$G$33</c:f>
              <c:strCache>
                <c:ptCount val="12"/>
                <c:pt idx="0">
                  <c:v>Jun 25</c:v>
                </c:pt>
                <c:pt idx="1">
                  <c:v>Jul 25</c:v>
                </c:pt>
                <c:pt idx="2">
                  <c:v>Aug 25</c:v>
                </c:pt>
                <c:pt idx="3">
                  <c:v>Sep 25</c:v>
                </c:pt>
                <c:pt idx="4">
                  <c:v>Oct 25</c:v>
                </c:pt>
                <c:pt idx="5">
                  <c:v>Nov 25</c:v>
                </c:pt>
                <c:pt idx="6">
                  <c:v>Dec 25</c:v>
                </c:pt>
                <c:pt idx="7">
                  <c:v>Jan 26</c:v>
                </c:pt>
                <c:pt idx="8">
                  <c:v>Feb 26</c:v>
                </c:pt>
                <c:pt idx="9">
                  <c:v>Mar 26</c:v>
                </c:pt>
                <c:pt idx="10">
                  <c:v>Apr 26</c:v>
                </c:pt>
                <c:pt idx="11">
                  <c:v>May 26</c:v>
                </c:pt>
              </c:strCache>
            </c:strRef>
          </c:cat>
          <c:val>
            <c:numRef>
              <c:f>'Financial Health Dashboard'!$J$22:$J$33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5829238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7744948"/>
        <c:axId val="72242564"/>
      </c:lineChart>
      <c:catAx>
        <c:axId val="87744948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242564"/>
        <c:crosses val="autoZero"/>
        <c:auto val="1"/>
        <c:lblAlgn val="ctr"/>
        <c:lblOffset val="100"/>
        <c:noMultiLvlLbl val="0"/>
      </c:catAx>
      <c:valAx>
        <c:axId val="722425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7449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Mood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'Behavioral Financial Dashboard'!C13</c:f>
              <c:strCache>
                <c:ptCount val="1"/>
                <c:pt idx="0">
                  <c:v>Jumlah Transaksi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472c4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spPr>
              <a:solidFill>
                <a:srgbClr val="a5a5a5"/>
              </a:solidFill>
              <a:ln w="0">
                <a:noFill/>
              </a:ln>
            </c:spPr>
          </c:dPt>
          <c:dPt>
            <c:idx val="3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5b9bd5"/>
              </a:solidFill>
              <a:ln w="0">
                <a:noFill/>
              </a:ln>
            </c:spPr>
          </c:dPt>
          <c:dPt>
            <c:idx val="5"/>
            <c:spPr>
              <a:solidFill>
                <a:srgbClr val="70ad47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'Behavioral Financial Dashboard'!$B$14:$B$19</c:f>
              <c:strCache>
                <c:ptCount val="6"/>
                <c:pt idx="0">
                  <c:v>Happy</c:v>
                </c:pt>
                <c:pt idx="1">
                  <c:v>Neutral</c:v>
                </c:pt>
                <c:pt idx="2">
                  <c:v>Sad</c:v>
                </c:pt>
                <c:pt idx="3">
                  <c:v>Stressed</c:v>
                </c:pt>
                <c:pt idx="4">
                  <c:v>Angry</c:v>
                </c:pt>
                <c:pt idx="5">
                  <c:v>Tired</c:v>
                </c:pt>
              </c:strCache>
            </c:strRef>
          </c:cat>
          <c:val>
            <c:numRef>
              <c:f>'Behavioral Financial Dashboard'!$C$14:$C$19</c:f>
              <c:numCache>
                <c:formatCode>General</c:formatCode>
                <c:ptCount val="6"/>
                <c:pt idx="0">
                  <c:v>38</c:v>
                </c:pt>
                <c:pt idx="1">
                  <c:v>60</c:v>
                </c:pt>
                <c:pt idx="2">
                  <c:v>2</c:v>
                </c:pt>
                <c:pt idx="3">
                  <c:v>9</c:v>
                </c:pt>
                <c:pt idx="4">
                  <c:v>2</c:v>
                </c:pt>
                <c:pt idx="5">
                  <c:v>10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Need vs Want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'Behavioral Financial Dashboard'!H13</c:f>
              <c:strCache>
                <c:ptCount val="1"/>
                <c:pt idx="0">
                  <c:v>Jumlah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472c4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d7d31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'Behavioral Financial Dashboard'!$G$14:$G$15</c:f>
              <c:strCache>
                <c:ptCount val="2"/>
                <c:pt idx="0">
                  <c:v>Need</c:v>
                </c:pt>
                <c:pt idx="1">
                  <c:v>Wants</c:v>
                </c:pt>
              </c:strCache>
            </c:strRef>
          </c:cat>
          <c:val>
            <c:numRef>
              <c:f>'Behavioral Financial Dashboard'!$H$14:$H$15</c:f>
              <c:numCache>
                <c:formatCode>General</c:formatCode>
                <c:ptCount val="2"/>
                <c:pt idx="0">
                  <c:v>83</c:v>
                </c:pt>
                <c:pt idx="1">
                  <c:v>38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Spending per Mood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'Behavioral Financial Dashboard'!D26</c:f>
              <c:strCache>
                <c:ptCount val="1"/>
                <c:pt idx="0">
                  <c:v>Total Spending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'Behavioral Financial Dashboard'!$B$27:$B$32</c:f>
              <c:strCache>
                <c:ptCount val="6"/>
                <c:pt idx="0">
                  <c:v>Happy</c:v>
                </c:pt>
                <c:pt idx="1">
                  <c:v>Neutral</c:v>
                </c:pt>
                <c:pt idx="2">
                  <c:v>Sad</c:v>
                </c:pt>
                <c:pt idx="3">
                  <c:v>Stressed</c:v>
                </c:pt>
                <c:pt idx="4">
                  <c:v>Angry</c:v>
                </c:pt>
                <c:pt idx="5">
                  <c:v>Tired</c:v>
                </c:pt>
              </c:strCache>
            </c:strRef>
          </c:cat>
          <c:val>
            <c:numRef>
              <c:f>'Behavioral Financial Dashboard'!$D$27:$D$32</c:f>
              <c:numCache>
                <c:formatCode>#,##0</c:formatCode>
                <c:ptCount val="6"/>
                <c:pt idx="0">
                  <c:v>5268941</c:v>
                </c:pt>
                <c:pt idx="1">
                  <c:v>8583499</c:v>
                </c:pt>
                <c:pt idx="2">
                  <c:v>3647629</c:v>
                </c:pt>
                <c:pt idx="3">
                  <c:v>1037128</c:v>
                </c:pt>
                <c:pt idx="4">
                  <c:v>6390000</c:v>
                </c:pt>
                <c:pt idx="5">
                  <c:v>368040</c:v>
                </c:pt>
              </c:numCache>
            </c:numRef>
          </c:val>
        </c:ser>
        <c:gapWidth val="150"/>
        <c:overlap val="0"/>
        <c:axId val="77933326"/>
        <c:axId val="89520091"/>
      </c:barChart>
      <c:catAx>
        <c:axId val="779333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20091"/>
        <c:crosses val="autoZero"/>
        <c:auto val="1"/>
        <c:lblAlgn val="ctr"/>
        <c:lblOffset val="100"/>
        <c:noMultiLvlLbl val="0"/>
      </c:catAx>
      <c:valAx>
        <c:axId val="8952009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9333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42</xdr:row>
      <xdr:rowOff>0</xdr:rowOff>
    </xdr:from>
    <xdr:to>
      <xdr:col>4</xdr:col>
      <xdr:colOff>648720</xdr:colOff>
      <xdr:row>60</xdr:row>
      <xdr:rowOff>131040</xdr:rowOff>
    </xdr:to>
    <xdr:graphicFrame>
      <xdr:nvGraphicFramePr>
        <xdr:cNvPr id="0" name="Chart 1"/>
        <xdr:cNvGraphicFramePr/>
      </xdr:nvGraphicFramePr>
      <xdr:xfrm>
        <a:off x="211320" y="7353360"/>
        <a:ext cx="4314240" cy="287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42</xdr:row>
      <xdr:rowOff>0</xdr:rowOff>
    </xdr:from>
    <xdr:to>
      <xdr:col>11</xdr:col>
      <xdr:colOff>115560</xdr:colOff>
      <xdr:row>60</xdr:row>
      <xdr:rowOff>131040</xdr:rowOff>
    </xdr:to>
    <xdr:graphicFrame>
      <xdr:nvGraphicFramePr>
        <xdr:cNvPr id="1" name="Chart 2"/>
        <xdr:cNvGraphicFramePr/>
      </xdr:nvGraphicFramePr>
      <xdr:xfrm>
        <a:off x="6132240" y="7353360"/>
        <a:ext cx="5754240" cy="287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42</xdr:row>
      <xdr:rowOff>0</xdr:rowOff>
    </xdr:from>
    <xdr:to>
      <xdr:col>3</xdr:col>
      <xdr:colOff>918720</xdr:colOff>
      <xdr:row>59</xdr:row>
      <xdr:rowOff>137520</xdr:rowOff>
    </xdr:to>
    <xdr:graphicFrame>
      <xdr:nvGraphicFramePr>
        <xdr:cNvPr id="2" name="Chart 1"/>
        <xdr:cNvGraphicFramePr/>
      </xdr:nvGraphicFramePr>
      <xdr:xfrm>
        <a:off x="211320" y="7572240"/>
        <a:ext cx="3597120" cy="272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42</xdr:row>
      <xdr:rowOff>0</xdr:rowOff>
    </xdr:from>
    <xdr:to>
      <xdr:col>9</xdr:col>
      <xdr:colOff>213840</xdr:colOff>
      <xdr:row>59</xdr:row>
      <xdr:rowOff>137520</xdr:rowOff>
    </xdr:to>
    <xdr:graphicFrame>
      <xdr:nvGraphicFramePr>
        <xdr:cNvPr id="3" name="Chart 2"/>
        <xdr:cNvGraphicFramePr/>
      </xdr:nvGraphicFramePr>
      <xdr:xfrm>
        <a:off x="6273000" y="7572240"/>
        <a:ext cx="3597120" cy="272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56</xdr:row>
      <xdr:rowOff>28440</xdr:rowOff>
    </xdr:from>
    <xdr:to>
      <xdr:col>5</xdr:col>
      <xdr:colOff>102960</xdr:colOff>
      <xdr:row>74</xdr:row>
      <xdr:rowOff>13680</xdr:rowOff>
    </xdr:to>
    <xdr:graphicFrame>
      <xdr:nvGraphicFramePr>
        <xdr:cNvPr id="4" name="Chart 3"/>
        <xdr:cNvGraphicFramePr/>
      </xdr:nvGraphicFramePr>
      <xdr:xfrm>
        <a:off x="211320" y="9734400"/>
        <a:ext cx="5037120" cy="272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796875" defaultRowHeight="12" zeroHeight="false" outlineLevelRow="0" outlineLevelCol="0"/>
  <cols>
    <col collapsed="false" customWidth="true" hidden="false" outlineLevel="0" max="2" min="2" style="1" width="6"/>
    <col collapsed="false" customWidth="true" hidden="false" outlineLevel="0" max="3" min="3" style="1" width="16"/>
    <col collapsed="false" customWidth="true" hidden="false" outlineLevel="0" max="4" min="4" style="1" width="20.54"/>
    <col collapsed="false" customWidth="true" hidden="false" outlineLevel="0" max="5" min="5" style="1" width="14.18"/>
    <col collapsed="false" customWidth="true" hidden="false" outlineLevel="0" max="7" min="6" style="1" width="16"/>
    <col collapsed="false" customWidth="true" hidden="false" outlineLevel="0" max="8" min="8" style="1" width="13.18"/>
    <col collapsed="false" customWidth="true" hidden="false" outlineLevel="0" max="9" min="9" style="1" width="13.63"/>
    <col collapsed="false" customWidth="true" hidden="false" outlineLevel="0" max="10" min="10" style="1" width="22.63"/>
    <col collapsed="false" customWidth="true" hidden="false" outlineLevel="0" max="11" min="11" style="1" width="16"/>
    <col collapsed="false" customWidth="true" hidden="false" outlineLevel="0" max="12" min="12" style="1" width="7.09"/>
    <col collapsed="false" customWidth="true" hidden="false" outlineLevel="0" max="13" min="13" style="1" width="17.54"/>
  </cols>
  <sheetData>
    <row r="1" customFormat="false" ht="12" hidden="false" customHeight="true" outlineLevel="0" collapsed="false">
      <c r="B1" s="2" t="s">
        <v>0</v>
      </c>
      <c r="C1" s="2"/>
      <c r="D1" s="2"/>
      <c r="F1" s="3" t="s">
        <v>1</v>
      </c>
      <c r="G1" s="3"/>
      <c r="H1" s="3"/>
      <c r="I1" s="3"/>
      <c r="J1" s="3"/>
    </row>
    <row r="2" customFormat="false" ht="12" hidden="false" customHeight="true" outlineLevel="0" collapsed="false">
      <c r="B2" s="2"/>
      <c r="C2" s="2"/>
      <c r="D2" s="2"/>
      <c r="F2" s="3" t="s">
        <v>2</v>
      </c>
      <c r="G2" s="3"/>
      <c r="H2" s="3"/>
      <c r="I2" s="3"/>
      <c r="J2" s="3"/>
    </row>
    <row r="3" customFormat="false" ht="12.75" hidden="false" customHeight="true" outlineLevel="0" collapsed="false">
      <c r="B3" s="4" t="s">
        <v>3</v>
      </c>
      <c r="C3" s="4"/>
      <c r="D3" s="4"/>
      <c r="F3" s="5" t="s">
        <v>4</v>
      </c>
      <c r="G3" s="5"/>
      <c r="H3" s="5"/>
      <c r="I3" s="5"/>
      <c r="J3" s="5"/>
    </row>
    <row r="4" customFormat="false" ht="12.75" hidden="false" customHeight="true" outlineLevel="0" collapsed="false">
      <c r="M4" s="6"/>
    </row>
    <row r="5" customFormat="false" ht="12" hidden="false" customHeight="true" outlineLevel="0" collapsed="false">
      <c r="B5" s="7" t="s">
        <v>5</v>
      </c>
      <c r="C5" s="7"/>
    </row>
    <row r="10" customFormat="false" ht="12.75" hidden="false" customHeight="true" outlineLevel="0" collapsed="false">
      <c r="B10" s="8" t="s">
        <v>6</v>
      </c>
      <c r="C10" s="8" t="s">
        <v>7</v>
      </c>
      <c r="D10" s="1" t="s">
        <v>8</v>
      </c>
      <c r="E10" s="8" t="s">
        <v>9</v>
      </c>
      <c r="F10" s="8" t="s">
        <v>10</v>
      </c>
      <c r="G10" s="9" t="s">
        <v>11</v>
      </c>
      <c r="H10" s="9" t="s">
        <v>12</v>
      </c>
      <c r="I10" s="9" t="s">
        <v>13</v>
      </c>
      <c r="J10" s="8" t="s">
        <v>14</v>
      </c>
      <c r="K10" s="10" t="s">
        <v>15</v>
      </c>
    </row>
    <row r="11" customFormat="false" ht="12" hidden="false" customHeight="true" outlineLevel="0" collapsed="false">
      <c r="B11" s="11" t="n">
        <v>1</v>
      </c>
      <c r="C11" s="12" t="n">
        <v>46143</v>
      </c>
      <c r="D11" s="1" t="s">
        <v>16</v>
      </c>
      <c r="E11" s="13" t="n">
        <v>7739000</v>
      </c>
      <c r="F11" s="11" t="s">
        <v>17</v>
      </c>
      <c r="J11" s="11" t="s">
        <v>18</v>
      </c>
      <c r="K11" s="1" t="str">
        <f aca="false">IFERROR(VLOOKUP(F11,Kategori_Mapping!$A:$B,2,FALSE()),"")</f>
        <v>Income</v>
      </c>
    </row>
    <row r="12" customFormat="false" ht="12" hidden="false" customHeight="true" outlineLevel="0" collapsed="false">
      <c r="B12" s="11" t="n">
        <v>2</v>
      </c>
      <c r="C12" s="12" t="n">
        <v>46143</v>
      </c>
      <c r="D12" s="1" t="s">
        <v>19</v>
      </c>
      <c r="E12" s="13" t="n">
        <v>18500</v>
      </c>
      <c r="F12" s="11" t="s">
        <v>20</v>
      </c>
      <c r="G12" s="14" t="s">
        <v>21</v>
      </c>
      <c r="H12" s="14" t="s">
        <v>6</v>
      </c>
      <c r="I12" s="14" t="s">
        <v>22</v>
      </c>
      <c r="J12" s="11" t="s">
        <v>23</v>
      </c>
      <c r="K12" s="1" t="str">
        <f aca="false">IFERROR(VLOOKUP(F12,Kategori_Mapping!$A:$B,2,FALSE()),"")</f>
        <v>Essential Living</v>
      </c>
    </row>
    <row r="13" customFormat="false" ht="12" hidden="false" customHeight="true" outlineLevel="0" collapsed="false">
      <c r="B13" s="11" t="n">
        <v>3</v>
      </c>
      <c r="C13" s="12" t="n">
        <v>46143</v>
      </c>
      <c r="D13" s="1" t="s">
        <v>19</v>
      </c>
      <c r="E13" s="13" t="n">
        <v>19000</v>
      </c>
      <c r="F13" s="11" t="s">
        <v>24</v>
      </c>
      <c r="G13" s="14" t="s">
        <v>21</v>
      </c>
      <c r="H13" s="14" t="s">
        <v>6</v>
      </c>
      <c r="I13" s="14" t="s">
        <v>22</v>
      </c>
      <c r="J13" s="11" t="s">
        <v>25</v>
      </c>
      <c r="K13" s="1" t="str">
        <f aca="false">IFERROR(VLOOKUP(F13,Kategori_Mapping!$A:$B,2,FALSE()),"")</f>
        <v>Future Building</v>
      </c>
    </row>
    <row r="14" customFormat="false" ht="12" hidden="false" customHeight="true" outlineLevel="0" collapsed="false">
      <c r="B14" s="11" t="n">
        <v>4</v>
      </c>
      <c r="C14" s="12" t="n">
        <v>46143</v>
      </c>
      <c r="D14" s="1" t="s">
        <v>19</v>
      </c>
      <c r="E14" s="13" t="n">
        <v>300000</v>
      </c>
      <c r="F14" s="11" t="s">
        <v>26</v>
      </c>
      <c r="G14" s="14" t="s">
        <v>21</v>
      </c>
      <c r="H14" s="14" t="s">
        <v>6</v>
      </c>
      <c r="I14" s="14" t="s">
        <v>22</v>
      </c>
      <c r="J14" s="11" t="s">
        <v>27</v>
      </c>
      <c r="K14" s="1" t="str">
        <f aca="false">IFERROR(VLOOKUP(F14,Kategori_Mapping!$A:$B,2,FALSE()),"")</f>
        <v>Flexible + Social</v>
      </c>
    </row>
    <row r="15" customFormat="false" ht="12" hidden="false" customHeight="true" outlineLevel="0" collapsed="false">
      <c r="B15" s="11" t="n">
        <v>5</v>
      </c>
      <c r="C15" s="12" t="n">
        <v>46144</v>
      </c>
      <c r="D15" s="1" t="s">
        <v>19</v>
      </c>
      <c r="E15" s="13" t="n">
        <v>61700</v>
      </c>
      <c r="F15" s="11" t="s">
        <v>28</v>
      </c>
      <c r="G15" s="15" t="s">
        <v>21</v>
      </c>
      <c r="H15" s="15" t="s">
        <v>6</v>
      </c>
      <c r="I15" s="16" t="s">
        <v>22</v>
      </c>
      <c r="J15" s="11" t="s">
        <v>29</v>
      </c>
      <c r="K15" s="1" t="str">
        <f aca="false">IFERROR(VLOOKUP(F15,Kategori_Mapping!$A:$B,2,FALSE()),"")</f>
        <v>Essential Living</v>
      </c>
    </row>
    <row r="16" customFormat="false" ht="12" hidden="false" customHeight="true" outlineLevel="0" collapsed="false">
      <c r="B16" s="11" t="n">
        <v>6</v>
      </c>
      <c r="C16" s="12" t="n">
        <v>46145</v>
      </c>
      <c r="D16" s="1" t="s">
        <v>19</v>
      </c>
      <c r="E16" s="13" t="n">
        <v>80900</v>
      </c>
      <c r="F16" s="11" t="s">
        <v>30</v>
      </c>
      <c r="G16" s="15" t="s">
        <v>21</v>
      </c>
      <c r="H16" s="15" t="s">
        <v>6</v>
      </c>
      <c r="I16" s="16" t="s">
        <v>31</v>
      </c>
      <c r="J16" s="11" t="s">
        <v>32</v>
      </c>
      <c r="K16" s="1" t="str">
        <f aca="false">IFERROR(VLOOKUP(F16,Kategori_Mapping!$A:$B,2,FALSE()),"")</f>
        <v>Flexible + Social</v>
      </c>
    </row>
    <row r="17" customFormat="false" ht="12" hidden="false" customHeight="true" outlineLevel="0" collapsed="false">
      <c r="B17" s="11" t="n">
        <v>7</v>
      </c>
      <c r="C17" s="12" t="n">
        <v>46145</v>
      </c>
      <c r="D17" s="1" t="s">
        <v>19</v>
      </c>
      <c r="E17" s="13" t="n">
        <v>65920</v>
      </c>
      <c r="F17" s="11" t="s">
        <v>30</v>
      </c>
      <c r="G17" s="15" t="s">
        <v>21</v>
      </c>
      <c r="H17" s="15" t="s">
        <v>33</v>
      </c>
      <c r="I17" s="16" t="s">
        <v>31</v>
      </c>
      <c r="J17" s="11" t="s">
        <v>34</v>
      </c>
      <c r="K17" s="1" t="str">
        <f aca="false">IFERROR(VLOOKUP(F17,Kategori_Mapping!$A:$B,2,FALSE()),"")</f>
        <v>Flexible + Social</v>
      </c>
    </row>
    <row r="18" customFormat="false" ht="12" hidden="false" customHeight="true" outlineLevel="0" collapsed="false">
      <c r="B18" s="11" t="n">
        <v>8</v>
      </c>
      <c r="C18" s="12" t="n">
        <v>46146</v>
      </c>
      <c r="D18" s="1" t="s">
        <v>16</v>
      </c>
      <c r="E18" s="13" t="n">
        <v>182477</v>
      </c>
      <c r="F18" s="11" t="s">
        <v>35</v>
      </c>
      <c r="J18" s="11" t="s">
        <v>36</v>
      </c>
      <c r="K18" s="1" t="str">
        <f aca="false">IFERROR(VLOOKUP(F18,Kategori_Mapping!$A:$B,2,FALSE()),"")</f>
        <v>Income</v>
      </c>
    </row>
    <row r="19" customFormat="false" ht="12" hidden="false" customHeight="true" outlineLevel="0" collapsed="false">
      <c r="B19" s="11" t="n">
        <v>9</v>
      </c>
      <c r="C19" s="12" t="n">
        <v>46146</v>
      </c>
      <c r="D19" s="1" t="s">
        <v>19</v>
      </c>
      <c r="E19" s="13" t="n">
        <v>42000</v>
      </c>
      <c r="F19" s="11" t="s">
        <v>28</v>
      </c>
      <c r="G19" s="14" t="s">
        <v>21</v>
      </c>
      <c r="H19" s="14" t="s">
        <v>6</v>
      </c>
      <c r="I19" s="14" t="s">
        <v>22</v>
      </c>
      <c r="J19" s="11" t="s">
        <v>37</v>
      </c>
      <c r="K19" s="1" t="str">
        <f aca="false">IFERROR(VLOOKUP(F19,Kategori_Mapping!$A:$B,2,FALSE()),"")</f>
        <v>Essential Living</v>
      </c>
    </row>
    <row r="20" customFormat="false" ht="12" hidden="false" customHeight="true" outlineLevel="0" collapsed="false">
      <c r="B20" s="11" t="n">
        <v>10</v>
      </c>
      <c r="C20" s="12" t="n">
        <v>46146</v>
      </c>
      <c r="D20" s="1" t="s">
        <v>19</v>
      </c>
      <c r="E20" s="13" t="n">
        <v>19200</v>
      </c>
      <c r="F20" s="11" t="s">
        <v>28</v>
      </c>
      <c r="G20" s="14" t="s">
        <v>21</v>
      </c>
      <c r="H20" s="14" t="s">
        <v>6</v>
      </c>
      <c r="I20" s="16" t="s">
        <v>22</v>
      </c>
      <c r="J20" s="11" t="s">
        <v>38</v>
      </c>
      <c r="K20" s="1" t="str">
        <f aca="false">IFERROR(VLOOKUP(F20,Kategori_Mapping!$A:$B,2,FALSE()),"")</f>
        <v>Essential Living</v>
      </c>
    </row>
    <row r="21" customFormat="false" ht="12" hidden="false" customHeight="true" outlineLevel="0" collapsed="false">
      <c r="B21" s="11" t="n">
        <v>11</v>
      </c>
      <c r="C21" s="12" t="n">
        <v>46146</v>
      </c>
      <c r="D21" s="1" t="s">
        <v>19</v>
      </c>
      <c r="E21" s="13" t="n">
        <v>77000</v>
      </c>
      <c r="F21" s="11" t="s">
        <v>39</v>
      </c>
      <c r="G21" s="15" t="s">
        <v>21</v>
      </c>
      <c r="H21" s="15" t="s">
        <v>6</v>
      </c>
      <c r="I21" s="16" t="s">
        <v>22</v>
      </c>
      <c r="J21" s="11" t="s">
        <v>40</v>
      </c>
      <c r="K21" s="1" t="str">
        <f aca="false">IFERROR(VLOOKUP(F21,Kategori_Mapping!$A:$B,2,FALSE()),"")</f>
        <v>Future Building</v>
      </c>
    </row>
    <row r="22" customFormat="false" ht="12" hidden="false" customHeight="true" outlineLevel="0" collapsed="false">
      <c r="B22" s="11" t="n">
        <v>12</v>
      </c>
      <c r="C22" s="12" t="n">
        <v>46146</v>
      </c>
      <c r="D22" s="1" t="s">
        <v>19</v>
      </c>
      <c r="E22" s="13" t="n">
        <v>12200</v>
      </c>
      <c r="F22" s="11" t="s">
        <v>28</v>
      </c>
      <c r="G22" s="15" t="s">
        <v>41</v>
      </c>
      <c r="H22" s="15" t="s">
        <v>33</v>
      </c>
      <c r="I22" s="16" t="s">
        <v>42</v>
      </c>
      <c r="J22" s="11" t="s">
        <v>43</v>
      </c>
      <c r="K22" s="1" t="str">
        <f aca="false">IFERROR(VLOOKUP(F22,Kategori_Mapping!$A:$B,2,FALSE()),"")</f>
        <v>Essential Living</v>
      </c>
    </row>
    <row r="23" customFormat="false" ht="12" hidden="false" customHeight="true" outlineLevel="0" collapsed="false">
      <c r="B23" s="11" t="n">
        <v>13</v>
      </c>
      <c r="C23" s="12" t="n">
        <v>46146</v>
      </c>
      <c r="D23" s="1" t="s">
        <v>19</v>
      </c>
      <c r="E23" s="13" t="n">
        <v>134000</v>
      </c>
      <c r="F23" s="11" t="s">
        <v>44</v>
      </c>
      <c r="G23" s="15" t="s">
        <v>41</v>
      </c>
      <c r="H23" s="15" t="s">
        <v>33</v>
      </c>
      <c r="I23" s="16" t="s">
        <v>42</v>
      </c>
      <c r="J23" s="11" t="s">
        <v>45</v>
      </c>
      <c r="K23" s="1" t="str">
        <f aca="false">IFERROR(VLOOKUP(F23,Kategori_Mapping!$A:$B,2,FALSE()),"")</f>
        <v>Flexible + Social</v>
      </c>
    </row>
    <row r="24" customFormat="false" ht="12" hidden="false" customHeight="true" outlineLevel="0" collapsed="false">
      <c r="B24" s="11" t="n">
        <v>14</v>
      </c>
      <c r="C24" s="12" t="n">
        <v>46146</v>
      </c>
      <c r="D24" s="1" t="s">
        <v>19</v>
      </c>
      <c r="E24" s="13" t="n">
        <v>40000</v>
      </c>
      <c r="F24" s="11" t="s">
        <v>44</v>
      </c>
      <c r="G24" s="15" t="s">
        <v>41</v>
      </c>
      <c r="H24" s="15" t="s">
        <v>33</v>
      </c>
      <c r="I24" s="16" t="s">
        <v>42</v>
      </c>
      <c r="J24" s="11" t="s">
        <v>46</v>
      </c>
      <c r="K24" s="1" t="str">
        <f aca="false">IFERROR(VLOOKUP(F24,Kategori_Mapping!$A:$B,2,FALSE()),"")</f>
        <v>Flexible + Social</v>
      </c>
    </row>
    <row r="25" customFormat="false" ht="12" hidden="false" customHeight="true" outlineLevel="0" collapsed="false">
      <c r="B25" s="11" t="n">
        <v>15</v>
      </c>
      <c r="C25" s="12" t="n">
        <v>46146</v>
      </c>
      <c r="D25" s="1" t="s">
        <v>19</v>
      </c>
      <c r="E25" s="13" t="n">
        <v>380000</v>
      </c>
      <c r="F25" s="11" t="s">
        <v>30</v>
      </c>
      <c r="G25" s="15" t="s">
        <v>41</v>
      </c>
      <c r="H25" s="15" t="s">
        <v>33</v>
      </c>
      <c r="I25" s="16" t="s">
        <v>31</v>
      </c>
      <c r="J25" s="11" t="s">
        <v>47</v>
      </c>
      <c r="K25" s="1" t="str">
        <f aca="false">IFERROR(VLOOKUP(F25,Kategori_Mapping!$A:$B,2,FALSE()),"")</f>
        <v>Flexible + Social</v>
      </c>
    </row>
    <row r="26" customFormat="false" ht="12" hidden="false" customHeight="true" outlineLevel="0" collapsed="false">
      <c r="B26" s="11" t="n">
        <v>16</v>
      </c>
      <c r="C26" s="12" t="n">
        <v>46146</v>
      </c>
      <c r="D26" s="1" t="s">
        <v>19</v>
      </c>
      <c r="E26" s="13" t="n">
        <v>25500</v>
      </c>
      <c r="F26" s="11" t="s">
        <v>28</v>
      </c>
      <c r="G26" s="15" t="s">
        <v>21</v>
      </c>
      <c r="H26" s="15" t="s">
        <v>6</v>
      </c>
      <c r="I26" s="16" t="s">
        <v>22</v>
      </c>
      <c r="J26" s="11" t="s">
        <v>48</v>
      </c>
      <c r="K26" s="1" t="str">
        <f aca="false">IFERROR(VLOOKUP(F26,Kategori_Mapping!$A:$B,2,FALSE()),"")</f>
        <v>Essential Living</v>
      </c>
    </row>
    <row r="27" customFormat="false" ht="12" hidden="false" customHeight="true" outlineLevel="0" collapsed="false">
      <c r="B27" s="11" t="n">
        <v>17</v>
      </c>
      <c r="C27" s="12" t="n">
        <v>46146</v>
      </c>
      <c r="D27" s="1" t="s">
        <v>19</v>
      </c>
      <c r="E27" s="13" t="n">
        <v>102000</v>
      </c>
      <c r="F27" s="11" t="s">
        <v>49</v>
      </c>
      <c r="G27" s="15" t="s">
        <v>21</v>
      </c>
      <c r="H27" s="15" t="s">
        <v>6</v>
      </c>
      <c r="I27" s="16" t="s">
        <v>22</v>
      </c>
      <c r="J27" s="11" t="s">
        <v>50</v>
      </c>
      <c r="K27" s="1" t="str">
        <f aca="false">IFERROR(VLOOKUP(F27,Kategori_Mapping!$A:$B,2,FALSE()),"")</f>
        <v>Transfer (Excluded)</v>
      </c>
    </row>
    <row r="28" customFormat="false" ht="12" hidden="false" customHeight="true" outlineLevel="0" collapsed="false">
      <c r="B28" s="11" t="n">
        <v>18</v>
      </c>
      <c r="C28" s="12" t="n">
        <v>46146</v>
      </c>
      <c r="D28" s="1" t="s">
        <v>16</v>
      </c>
      <c r="E28" s="13" t="n">
        <v>3550000</v>
      </c>
      <c r="F28" s="11" t="s">
        <v>50</v>
      </c>
      <c r="J28" s="11" t="s">
        <v>51</v>
      </c>
      <c r="K28" s="1" t="str">
        <f aca="false">IFERROR(VLOOKUP(F28,Kategori_Mapping!$A:$B,2,FALSE()),"")</f>
        <v>Income</v>
      </c>
    </row>
    <row r="29" customFormat="false" ht="12" hidden="false" customHeight="true" outlineLevel="0" collapsed="false">
      <c r="B29" s="11" t="n">
        <v>19</v>
      </c>
      <c r="C29" s="12" t="n">
        <v>46147</v>
      </c>
      <c r="D29" s="1" t="s">
        <v>19</v>
      </c>
      <c r="E29" s="13" t="n">
        <v>44700</v>
      </c>
      <c r="F29" s="11" t="s">
        <v>28</v>
      </c>
      <c r="G29" s="14" t="s">
        <v>21</v>
      </c>
      <c r="H29" s="14" t="s">
        <v>6</v>
      </c>
      <c r="I29" s="14" t="s">
        <v>22</v>
      </c>
      <c r="J29" s="11" t="s">
        <v>52</v>
      </c>
      <c r="K29" s="1" t="str">
        <f aca="false">IFERROR(VLOOKUP(F29,Kategori_Mapping!$A:$B,2,FALSE()),"")</f>
        <v>Essential Living</v>
      </c>
    </row>
    <row r="30" customFormat="false" ht="12" hidden="false" customHeight="true" outlineLevel="0" collapsed="false">
      <c r="B30" s="11" t="n">
        <v>20</v>
      </c>
      <c r="C30" s="12" t="n">
        <v>46147</v>
      </c>
      <c r="D30" s="1" t="s">
        <v>19</v>
      </c>
      <c r="E30" s="13" t="n">
        <v>162314</v>
      </c>
      <c r="F30" s="11" t="s">
        <v>24</v>
      </c>
      <c r="G30" s="15" t="s">
        <v>21</v>
      </c>
      <c r="H30" s="15" t="s">
        <v>6</v>
      </c>
      <c r="I30" s="16" t="s">
        <v>22</v>
      </c>
      <c r="J30" s="11" t="s">
        <v>53</v>
      </c>
      <c r="K30" s="1" t="str">
        <f aca="false">IFERROR(VLOOKUP(F30,Kategori_Mapping!$A:$B,2,FALSE()),"")</f>
        <v>Future Building</v>
      </c>
    </row>
    <row r="31" customFormat="false" ht="12" hidden="false" customHeight="true" outlineLevel="0" collapsed="false">
      <c r="B31" s="11" t="n">
        <v>21</v>
      </c>
      <c r="C31" s="12" t="n">
        <v>46147</v>
      </c>
      <c r="D31" s="1" t="s">
        <v>19</v>
      </c>
      <c r="E31" s="13" t="n">
        <v>30000</v>
      </c>
      <c r="F31" s="11" t="s">
        <v>54</v>
      </c>
      <c r="G31" s="15" t="s">
        <v>21</v>
      </c>
      <c r="H31" s="15" t="s">
        <v>6</v>
      </c>
      <c r="I31" s="16" t="s">
        <v>55</v>
      </c>
      <c r="J31" s="11" t="s">
        <v>56</v>
      </c>
      <c r="K31" s="1" t="str">
        <f aca="false">IFERROR(VLOOKUP(F31,Kategori_Mapping!$A:$B,2,FALSE()),"")</f>
        <v>Essential Living</v>
      </c>
    </row>
    <row r="32" customFormat="false" ht="12" hidden="false" customHeight="true" outlineLevel="0" collapsed="false">
      <c r="B32" s="11" t="n">
        <v>22</v>
      </c>
      <c r="C32" s="12" t="n">
        <v>46147</v>
      </c>
      <c r="D32" s="1" t="s">
        <v>19</v>
      </c>
      <c r="E32" s="13" t="n">
        <v>46000</v>
      </c>
      <c r="F32" s="11" t="s">
        <v>54</v>
      </c>
      <c r="G32" s="15" t="s">
        <v>21</v>
      </c>
      <c r="H32" s="15" t="s">
        <v>33</v>
      </c>
      <c r="I32" s="16" t="s">
        <v>57</v>
      </c>
      <c r="J32" s="11" t="s">
        <v>58</v>
      </c>
      <c r="K32" s="1" t="str">
        <f aca="false">IFERROR(VLOOKUP(F32,Kategori_Mapping!$A:$B,2,FALSE()),"")</f>
        <v>Essential Living</v>
      </c>
    </row>
    <row r="33" customFormat="false" ht="12" hidden="false" customHeight="true" outlineLevel="0" collapsed="false">
      <c r="B33" s="11" t="n">
        <v>23</v>
      </c>
      <c r="C33" s="12" t="n">
        <v>46147</v>
      </c>
      <c r="D33" s="1" t="s">
        <v>16</v>
      </c>
      <c r="E33" s="13" t="n">
        <v>11349000</v>
      </c>
      <c r="F33" s="11" t="s">
        <v>17</v>
      </c>
      <c r="J33" s="11" t="s">
        <v>59</v>
      </c>
      <c r="K33" s="1" t="str">
        <f aca="false">IFERROR(VLOOKUP(F33,Kategori_Mapping!$A:$B,2,FALSE()),"")</f>
        <v>Income</v>
      </c>
    </row>
    <row r="34" customFormat="false" ht="12" hidden="false" customHeight="true" outlineLevel="0" collapsed="false">
      <c r="B34" s="11" t="n">
        <v>24</v>
      </c>
      <c r="C34" s="12" t="n">
        <v>46147</v>
      </c>
      <c r="D34" s="1" t="s">
        <v>19</v>
      </c>
      <c r="E34" s="13" t="n">
        <v>65920</v>
      </c>
      <c r="F34" s="11" t="s">
        <v>30</v>
      </c>
      <c r="G34" s="14" t="s">
        <v>41</v>
      </c>
      <c r="H34" s="14" t="s">
        <v>33</v>
      </c>
      <c r="I34" s="14" t="s">
        <v>31</v>
      </c>
      <c r="J34" s="11" t="s">
        <v>60</v>
      </c>
      <c r="K34" s="1" t="str">
        <f aca="false">IFERROR(VLOOKUP(F34,Kategori_Mapping!$A:$B,2,FALSE()),"")</f>
        <v>Flexible + Social</v>
      </c>
    </row>
    <row r="35" customFormat="false" ht="12" hidden="false" customHeight="true" outlineLevel="0" collapsed="false">
      <c r="B35" s="11" t="n">
        <v>25</v>
      </c>
      <c r="C35" s="12" t="n">
        <v>46148</v>
      </c>
      <c r="D35" s="1" t="s">
        <v>19</v>
      </c>
      <c r="E35" s="13" t="n">
        <v>39700</v>
      </c>
      <c r="F35" s="11" t="s">
        <v>28</v>
      </c>
      <c r="G35" s="15" t="s">
        <v>21</v>
      </c>
      <c r="H35" s="15" t="s">
        <v>6</v>
      </c>
      <c r="I35" s="16" t="s">
        <v>22</v>
      </c>
      <c r="J35" s="11" t="s">
        <v>61</v>
      </c>
      <c r="K35" s="1" t="str">
        <f aca="false">IFERROR(VLOOKUP(F35,Kategori_Mapping!$A:$B,2,FALSE()),"")</f>
        <v>Essential Living</v>
      </c>
    </row>
    <row r="36" customFormat="false" ht="12" hidden="false" customHeight="true" outlineLevel="0" collapsed="false">
      <c r="B36" s="11" t="n">
        <v>26</v>
      </c>
      <c r="C36" s="12" t="n">
        <v>46148</v>
      </c>
      <c r="D36" s="1" t="s">
        <v>19</v>
      </c>
      <c r="E36" s="13" t="n">
        <v>31000</v>
      </c>
      <c r="F36" s="11" t="s">
        <v>30</v>
      </c>
      <c r="G36" s="15" t="s">
        <v>21</v>
      </c>
      <c r="H36" s="15" t="s">
        <v>33</v>
      </c>
      <c r="I36" s="16" t="s">
        <v>22</v>
      </c>
      <c r="J36" s="11" t="s">
        <v>62</v>
      </c>
      <c r="K36" s="1" t="str">
        <f aca="false">IFERROR(VLOOKUP(F36,Kategori_Mapping!$A:$B,2,FALSE()),"")</f>
        <v>Flexible + Social</v>
      </c>
    </row>
    <row r="37" customFormat="false" ht="12" hidden="false" customHeight="true" outlineLevel="0" collapsed="false">
      <c r="B37" s="11" t="n">
        <v>27</v>
      </c>
      <c r="C37" s="12" t="n">
        <v>46148</v>
      </c>
      <c r="D37" s="1" t="s">
        <v>19</v>
      </c>
      <c r="E37" s="13" t="n">
        <v>18000</v>
      </c>
      <c r="F37" s="11" t="s">
        <v>54</v>
      </c>
      <c r="G37" s="15" t="s">
        <v>41</v>
      </c>
      <c r="H37" s="15" t="s">
        <v>33</v>
      </c>
      <c r="I37" s="16" t="s">
        <v>42</v>
      </c>
      <c r="J37" s="11" t="s">
        <v>63</v>
      </c>
      <c r="K37" s="1" t="str">
        <f aca="false">IFERROR(VLOOKUP(F37,Kategori_Mapping!$A:$B,2,FALSE()),"")</f>
        <v>Essential Living</v>
      </c>
    </row>
    <row r="38" customFormat="false" ht="12" hidden="false" customHeight="true" outlineLevel="0" collapsed="false">
      <c r="B38" s="11" t="n">
        <v>28</v>
      </c>
      <c r="C38" s="12" t="n">
        <v>46148</v>
      </c>
      <c r="D38" s="1" t="s">
        <v>19</v>
      </c>
      <c r="E38" s="13" t="n">
        <v>13000</v>
      </c>
      <c r="F38" s="11" t="s">
        <v>54</v>
      </c>
      <c r="G38" s="15" t="s">
        <v>41</v>
      </c>
      <c r="H38" s="15" t="s">
        <v>33</v>
      </c>
      <c r="I38" s="16" t="s">
        <v>42</v>
      </c>
      <c r="J38" s="11" t="s">
        <v>64</v>
      </c>
      <c r="K38" s="1" t="str">
        <f aca="false">IFERROR(VLOOKUP(F38,Kategori_Mapping!$A:$B,2,FALSE()),"")</f>
        <v>Essential Living</v>
      </c>
    </row>
    <row r="39" customFormat="false" ht="12" hidden="false" customHeight="true" outlineLevel="0" collapsed="false">
      <c r="B39" s="11" t="n">
        <v>29</v>
      </c>
      <c r="C39" s="12" t="n">
        <v>46148</v>
      </c>
      <c r="D39" s="1" t="s">
        <v>19</v>
      </c>
      <c r="E39" s="13" t="n">
        <v>54200</v>
      </c>
      <c r="F39" s="11" t="s">
        <v>28</v>
      </c>
      <c r="G39" s="15" t="s">
        <v>21</v>
      </c>
      <c r="H39" s="15" t="s">
        <v>6</v>
      </c>
      <c r="I39" s="16" t="s">
        <v>22</v>
      </c>
      <c r="J39" s="11" t="s">
        <v>65</v>
      </c>
      <c r="K39" s="1" t="str">
        <f aca="false">IFERROR(VLOOKUP(F39,Kategori_Mapping!$A:$B,2,FALSE()),"")</f>
        <v>Essential Living</v>
      </c>
    </row>
    <row r="40" customFormat="false" ht="12" hidden="false" customHeight="true" outlineLevel="0" collapsed="false">
      <c r="B40" s="11" t="n">
        <v>30</v>
      </c>
      <c r="C40" s="12" t="n">
        <v>46148</v>
      </c>
      <c r="D40" s="1" t="s">
        <v>19</v>
      </c>
      <c r="E40" s="13" t="n">
        <v>408000</v>
      </c>
      <c r="F40" s="11" t="s">
        <v>66</v>
      </c>
      <c r="G40" s="15" t="s">
        <v>21</v>
      </c>
      <c r="H40" s="15" t="s">
        <v>6</v>
      </c>
      <c r="I40" s="16" t="s">
        <v>22</v>
      </c>
      <c r="J40" s="11" t="s">
        <v>67</v>
      </c>
      <c r="K40" s="1" t="str">
        <f aca="false">IFERROR(VLOOKUP(F40,Kategori_Mapping!$A:$B,2,FALSE()),"")</f>
        <v>Protection</v>
      </c>
    </row>
    <row r="41" customFormat="false" ht="12" hidden="false" customHeight="true" outlineLevel="0" collapsed="false">
      <c r="B41" s="11" t="n">
        <v>31</v>
      </c>
      <c r="C41" s="12" t="n">
        <v>46148</v>
      </c>
      <c r="D41" s="1" t="s">
        <v>19</v>
      </c>
      <c r="E41" s="13" t="n">
        <v>150000</v>
      </c>
      <c r="F41" s="11" t="s">
        <v>66</v>
      </c>
      <c r="G41" s="15" t="s">
        <v>21</v>
      </c>
      <c r="H41" s="15" t="s">
        <v>6</v>
      </c>
      <c r="I41" s="16" t="s">
        <v>22</v>
      </c>
      <c r="J41" s="11" t="s">
        <v>68</v>
      </c>
      <c r="K41" s="1" t="str">
        <f aca="false">IFERROR(VLOOKUP(F41,Kategori_Mapping!$A:$B,2,FALSE()),"")</f>
        <v>Protection</v>
      </c>
    </row>
    <row r="42" customFormat="false" ht="12" hidden="false" customHeight="true" outlineLevel="0" collapsed="false">
      <c r="B42" s="11" t="n">
        <v>32</v>
      </c>
      <c r="C42" s="12" t="n">
        <v>46148</v>
      </c>
      <c r="D42" s="1" t="s">
        <v>16</v>
      </c>
      <c r="E42" s="13" t="n">
        <v>426000</v>
      </c>
      <c r="F42" s="11" t="s">
        <v>69</v>
      </c>
      <c r="J42" s="11" t="s">
        <v>70</v>
      </c>
      <c r="K42" s="1" t="str">
        <f aca="false">IFERROR(VLOOKUP(F42,Kategori_Mapping!$A:$B,2,FALSE()),"")</f>
        <v>Income</v>
      </c>
    </row>
    <row r="43" customFormat="false" ht="12" hidden="false" customHeight="true" outlineLevel="0" collapsed="false">
      <c r="B43" s="11" t="n">
        <v>33</v>
      </c>
      <c r="C43" s="12" t="n">
        <v>46150</v>
      </c>
      <c r="D43" s="1" t="s">
        <v>19</v>
      </c>
      <c r="E43" s="13" t="n">
        <v>42000</v>
      </c>
      <c r="F43" s="11" t="s">
        <v>28</v>
      </c>
      <c r="G43" s="14" t="s">
        <v>21</v>
      </c>
      <c r="H43" s="14" t="s">
        <v>6</v>
      </c>
      <c r="I43" s="14" t="s">
        <v>22</v>
      </c>
      <c r="J43" s="11" t="s">
        <v>37</v>
      </c>
      <c r="K43" s="1" t="str">
        <f aca="false">IFERROR(VLOOKUP(F43,Kategori_Mapping!$A:$B,2,FALSE()),"")</f>
        <v>Essential Living</v>
      </c>
    </row>
    <row r="44" customFormat="false" ht="12" hidden="false" customHeight="true" outlineLevel="0" collapsed="false">
      <c r="B44" s="11" t="n">
        <v>34</v>
      </c>
      <c r="C44" s="12" t="n">
        <v>46150</v>
      </c>
      <c r="D44" s="1" t="s">
        <v>19</v>
      </c>
      <c r="E44" s="13" t="n">
        <v>7000</v>
      </c>
      <c r="F44" s="11" t="s">
        <v>28</v>
      </c>
      <c r="G44" s="15" t="s">
        <v>41</v>
      </c>
      <c r="H44" s="15" t="s">
        <v>33</v>
      </c>
      <c r="I44" s="16" t="s">
        <v>42</v>
      </c>
      <c r="J44" s="11" t="s">
        <v>71</v>
      </c>
      <c r="K44" s="1" t="str">
        <f aca="false">IFERROR(VLOOKUP(F44,Kategori_Mapping!$A:$B,2,FALSE()),"")</f>
        <v>Essential Living</v>
      </c>
    </row>
    <row r="45" customFormat="false" ht="12" hidden="false" customHeight="true" outlineLevel="0" collapsed="false">
      <c r="B45" s="11" t="n">
        <v>35</v>
      </c>
      <c r="C45" s="12" t="n">
        <v>46150</v>
      </c>
      <c r="D45" s="1" t="s">
        <v>19</v>
      </c>
      <c r="E45" s="13" t="n">
        <v>25000</v>
      </c>
      <c r="F45" s="11" t="s">
        <v>54</v>
      </c>
      <c r="G45" s="15" t="s">
        <v>21</v>
      </c>
      <c r="H45" s="15" t="s">
        <v>6</v>
      </c>
      <c r="I45" s="16" t="s">
        <v>55</v>
      </c>
      <c r="J45" s="11" t="s">
        <v>72</v>
      </c>
      <c r="K45" s="1" t="str">
        <f aca="false">IFERROR(VLOOKUP(F45,Kategori_Mapping!$A:$B,2,FALSE()),"")</f>
        <v>Essential Living</v>
      </c>
    </row>
    <row r="46" customFormat="false" ht="12" hidden="false" customHeight="true" outlineLevel="0" collapsed="false">
      <c r="B46" s="11" t="n">
        <v>36</v>
      </c>
      <c r="C46" s="12" t="n">
        <v>46150</v>
      </c>
      <c r="D46" s="1" t="s">
        <v>19</v>
      </c>
      <c r="E46" s="13" t="n">
        <v>56000</v>
      </c>
      <c r="F46" s="11" t="s">
        <v>73</v>
      </c>
      <c r="G46" s="15" t="s">
        <v>21</v>
      </c>
      <c r="H46" s="15" t="s">
        <v>6</v>
      </c>
      <c r="I46" s="16" t="s">
        <v>22</v>
      </c>
      <c r="J46" s="11" t="s">
        <v>74</v>
      </c>
      <c r="K46" s="1" t="str">
        <f aca="false">IFERROR(VLOOKUP(F46,Kategori_Mapping!$A:$B,2,FALSE()),"")</f>
        <v>Flexible + Social</v>
      </c>
    </row>
    <row r="47" customFormat="false" ht="12" hidden="false" customHeight="true" outlineLevel="0" collapsed="false">
      <c r="B47" s="11" t="n">
        <v>37</v>
      </c>
      <c r="C47" s="12" t="n">
        <v>46150</v>
      </c>
      <c r="D47" s="1" t="s">
        <v>19</v>
      </c>
      <c r="E47" s="13" t="n">
        <v>38200</v>
      </c>
      <c r="F47" s="11" t="s">
        <v>28</v>
      </c>
      <c r="G47" s="15" t="s">
        <v>21</v>
      </c>
      <c r="H47" s="15" t="s">
        <v>6</v>
      </c>
      <c r="I47" s="16" t="s">
        <v>22</v>
      </c>
      <c r="J47" s="11" t="s">
        <v>75</v>
      </c>
      <c r="K47" s="1" t="str">
        <f aca="false">IFERROR(VLOOKUP(F47,Kategori_Mapping!$A:$B,2,FALSE()),"")</f>
        <v>Essential Living</v>
      </c>
    </row>
    <row r="48" customFormat="false" ht="12" hidden="false" customHeight="true" outlineLevel="0" collapsed="false">
      <c r="B48" s="11" t="n">
        <v>38</v>
      </c>
      <c r="C48" s="12" t="n">
        <v>46150</v>
      </c>
      <c r="D48" s="1" t="s">
        <v>19</v>
      </c>
      <c r="E48" s="13" t="n">
        <v>25000</v>
      </c>
      <c r="F48" s="11" t="s">
        <v>54</v>
      </c>
      <c r="G48" s="15" t="s">
        <v>21</v>
      </c>
      <c r="H48" s="15" t="s">
        <v>6</v>
      </c>
      <c r="I48" s="16" t="s">
        <v>55</v>
      </c>
      <c r="J48" s="11" t="s">
        <v>76</v>
      </c>
      <c r="K48" s="1" t="str">
        <f aca="false">IFERROR(VLOOKUP(F48,Kategori_Mapping!$A:$B,2,FALSE()),"")</f>
        <v>Essential Living</v>
      </c>
    </row>
    <row r="49" customFormat="false" ht="12" hidden="false" customHeight="true" outlineLevel="0" collapsed="false">
      <c r="B49" s="11" t="n">
        <v>39</v>
      </c>
      <c r="C49" s="12" t="n">
        <v>46150</v>
      </c>
      <c r="D49" s="1" t="s">
        <v>16</v>
      </c>
      <c r="E49" s="13" t="n">
        <v>1964500</v>
      </c>
      <c r="F49" s="11" t="s">
        <v>69</v>
      </c>
      <c r="J49" s="11" t="s">
        <v>77</v>
      </c>
      <c r="K49" s="1" t="str">
        <f aca="false">IFERROR(VLOOKUP(F49,Kategori_Mapping!$A:$B,2,FALSE()),"")</f>
        <v>Income</v>
      </c>
    </row>
    <row r="50" customFormat="false" ht="12" hidden="false" customHeight="true" outlineLevel="0" collapsed="false">
      <c r="B50" s="11" t="n">
        <v>40</v>
      </c>
      <c r="C50" s="12" t="n">
        <v>46150</v>
      </c>
      <c r="D50" s="1" t="s">
        <v>19</v>
      </c>
      <c r="E50" s="13" t="n">
        <v>80900</v>
      </c>
      <c r="F50" s="11" t="s">
        <v>30</v>
      </c>
      <c r="G50" s="14" t="s">
        <v>21</v>
      </c>
      <c r="H50" s="14" t="s">
        <v>6</v>
      </c>
      <c r="I50" s="14" t="s">
        <v>31</v>
      </c>
      <c r="J50" s="11" t="s">
        <v>32</v>
      </c>
      <c r="K50" s="1" t="str">
        <f aca="false">IFERROR(VLOOKUP(F50,Kategori_Mapping!$A:$B,2,FALSE()),"")</f>
        <v>Flexible + Social</v>
      </c>
    </row>
    <row r="51" customFormat="false" ht="12" hidden="false" customHeight="true" outlineLevel="0" collapsed="false">
      <c r="B51" s="11" t="n">
        <v>41</v>
      </c>
      <c r="C51" s="12" t="n">
        <v>46151</v>
      </c>
      <c r="D51" s="1" t="s">
        <v>19</v>
      </c>
      <c r="E51" s="13" t="n">
        <v>72200</v>
      </c>
      <c r="F51" s="11" t="s">
        <v>28</v>
      </c>
      <c r="G51" s="15" t="s">
        <v>21</v>
      </c>
      <c r="H51" s="15" t="s">
        <v>6</v>
      </c>
      <c r="I51" s="16" t="s">
        <v>22</v>
      </c>
      <c r="J51" s="11" t="s">
        <v>78</v>
      </c>
      <c r="K51" s="1" t="str">
        <f aca="false">IFERROR(VLOOKUP(F51,Kategori_Mapping!$A:$B,2,FALSE()),"")</f>
        <v>Essential Living</v>
      </c>
    </row>
    <row r="52" customFormat="false" ht="12" hidden="false" customHeight="true" outlineLevel="0" collapsed="false">
      <c r="B52" s="11" t="n">
        <v>42</v>
      </c>
      <c r="C52" s="12" t="n">
        <v>46151</v>
      </c>
      <c r="D52" s="1" t="s">
        <v>19</v>
      </c>
      <c r="E52" s="13" t="n">
        <v>10000</v>
      </c>
      <c r="F52" s="11" t="s">
        <v>26</v>
      </c>
      <c r="G52" s="15" t="s">
        <v>21</v>
      </c>
      <c r="H52" s="15" t="s">
        <v>6</v>
      </c>
      <c r="I52" s="16" t="s">
        <v>55</v>
      </c>
      <c r="J52" s="11" t="s">
        <v>79</v>
      </c>
      <c r="K52" s="1" t="str">
        <f aca="false">IFERROR(VLOOKUP(F52,Kategori_Mapping!$A:$B,2,FALSE()),"")</f>
        <v>Flexible + Social</v>
      </c>
    </row>
    <row r="53" customFormat="false" ht="12" hidden="false" customHeight="true" outlineLevel="0" collapsed="false">
      <c r="B53" s="11" t="n">
        <v>43</v>
      </c>
      <c r="C53" s="12" t="n">
        <v>46152</v>
      </c>
      <c r="D53" s="1" t="s">
        <v>19</v>
      </c>
      <c r="E53" s="13" t="n">
        <v>57932</v>
      </c>
      <c r="F53" s="11" t="s">
        <v>30</v>
      </c>
      <c r="G53" s="15" t="s">
        <v>41</v>
      </c>
      <c r="H53" s="15" t="s">
        <v>6</v>
      </c>
      <c r="I53" s="16" t="s">
        <v>31</v>
      </c>
      <c r="J53" s="11" t="s">
        <v>80</v>
      </c>
      <c r="K53" s="1" t="str">
        <f aca="false">IFERROR(VLOOKUP(F53,Kategori_Mapping!$A:$B,2,FALSE()),"")</f>
        <v>Flexible + Social</v>
      </c>
    </row>
    <row r="54" customFormat="false" ht="12" hidden="false" customHeight="true" outlineLevel="0" collapsed="false">
      <c r="B54" s="11" t="n">
        <v>44</v>
      </c>
      <c r="C54" s="12" t="n">
        <v>46152</v>
      </c>
      <c r="D54" s="1" t="s">
        <v>19</v>
      </c>
      <c r="E54" s="13" t="n">
        <v>15000</v>
      </c>
      <c r="F54" s="11" t="s">
        <v>54</v>
      </c>
      <c r="G54" s="15" t="s">
        <v>41</v>
      </c>
      <c r="H54" s="15" t="s">
        <v>33</v>
      </c>
      <c r="I54" s="16" t="s">
        <v>42</v>
      </c>
      <c r="J54" s="11" t="s">
        <v>81</v>
      </c>
      <c r="K54" s="1" t="str">
        <f aca="false">IFERROR(VLOOKUP(F54,Kategori_Mapping!$A:$B,2,FALSE()),"")</f>
        <v>Essential Living</v>
      </c>
    </row>
    <row r="55" customFormat="false" ht="12" hidden="false" customHeight="true" outlineLevel="0" collapsed="false">
      <c r="B55" s="11" t="n">
        <v>45</v>
      </c>
      <c r="C55" s="12" t="n">
        <v>46153</v>
      </c>
      <c r="D55" s="1" t="s">
        <v>19</v>
      </c>
      <c r="E55" s="13" t="n">
        <v>4000000</v>
      </c>
      <c r="F55" s="11" t="s">
        <v>82</v>
      </c>
      <c r="G55" s="15" t="s">
        <v>21</v>
      </c>
      <c r="H55" s="15" t="s">
        <v>6</v>
      </c>
      <c r="I55" s="16" t="s">
        <v>83</v>
      </c>
      <c r="J55" s="11" t="s">
        <v>84</v>
      </c>
      <c r="K55" s="1" t="str">
        <f aca="false">IFERROR(VLOOKUP(F55,Kategori_Mapping!$A:$B,2,FALSE()),"")</f>
        <v>Future Building</v>
      </c>
    </row>
    <row r="56" customFormat="false" ht="12" hidden="false" customHeight="true" outlineLevel="0" collapsed="false">
      <c r="B56" s="11" t="n">
        <v>46</v>
      </c>
      <c r="C56" s="12" t="n">
        <v>46153</v>
      </c>
      <c r="D56" s="1" t="s">
        <v>19</v>
      </c>
      <c r="E56" s="13" t="n">
        <v>2390000</v>
      </c>
      <c r="F56" s="11" t="s">
        <v>82</v>
      </c>
      <c r="G56" s="15" t="s">
        <v>21</v>
      </c>
      <c r="H56" s="15" t="s">
        <v>6</v>
      </c>
      <c r="I56" s="16" t="s">
        <v>83</v>
      </c>
      <c r="J56" s="11" t="s">
        <v>85</v>
      </c>
      <c r="K56" s="1" t="str">
        <f aca="false">IFERROR(VLOOKUP(F56,Kategori_Mapping!$A:$B,2,FALSE()),"")</f>
        <v>Future Building</v>
      </c>
    </row>
    <row r="57" customFormat="false" ht="12" hidden="false" customHeight="true" outlineLevel="0" collapsed="false">
      <c r="B57" s="11" t="n">
        <v>47</v>
      </c>
      <c r="C57" s="12" t="n">
        <v>46153</v>
      </c>
      <c r="D57" s="1" t="s">
        <v>19</v>
      </c>
      <c r="E57" s="13" t="n">
        <v>12000</v>
      </c>
      <c r="F57" s="11" t="s">
        <v>30</v>
      </c>
      <c r="G57" s="15" t="s">
        <v>21</v>
      </c>
      <c r="H57" s="15" t="s">
        <v>6</v>
      </c>
      <c r="I57" s="16" t="s">
        <v>22</v>
      </c>
      <c r="J57" s="11" t="s">
        <v>86</v>
      </c>
      <c r="K57" s="1" t="str">
        <f aca="false">IFERROR(VLOOKUP(F57,Kategori_Mapping!$A:$B,2,FALSE()),"")</f>
        <v>Flexible + Social</v>
      </c>
    </row>
    <row r="58" customFormat="false" ht="12" hidden="false" customHeight="true" outlineLevel="0" collapsed="false">
      <c r="B58" s="11" t="n">
        <v>48</v>
      </c>
      <c r="C58" s="12" t="n">
        <v>46153</v>
      </c>
      <c r="D58" s="1" t="s">
        <v>19</v>
      </c>
      <c r="E58" s="13" t="n">
        <v>38000</v>
      </c>
      <c r="F58" s="11" t="s">
        <v>54</v>
      </c>
      <c r="G58" s="15" t="s">
        <v>41</v>
      </c>
      <c r="H58" s="15" t="s">
        <v>33</v>
      </c>
      <c r="I58" s="16" t="s">
        <v>55</v>
      </c>
      <c r="J58" s="11" t="s">
        <v>87</v>
      </c>
      <c r="K58" s="1" t="str">
        <f aca="false">IFERROR(VLOOKUP(F58,Kategori_Mapping!$A:$B,2,FALSE()),"")</f>
        <v>Essential Living</v>
      </c>
    </row>
    <row r="59" customFormat="false" ht="12" hidden="false" customHeight="true" outlineLevel="0" collapsed="false">
      <c r="B59" s="11" t="n">
        <v>49</v>
      </c>
      <c r="C59" s="12" t="n">
        <v>46153</v>
      </c>
      <c r="D59" s="1" t="s">
        <v>19</v>
      </c>
      <c r="E59" s="13" t="n">
        <v>41500</v>
      </c>
      <c r="F59" s="11" t="s">
        <v>28</v>
      </c>
      <c r="G59" s="15" t="s">
        <v>21</v>
      </c>
      <c r="H59" s="15" t="s">
        <v>6</v>
      </c>
      <c r="I59" s="16" t="s">
        <v>22</v>
      </c>
      <c r="J59" s="11" t="s">
        <v>88</v>
      </c>
      <c r="K59" s="1" t="str">
        <f aca="false">IFERROR(VLOOKUP(F59,Kategori_Mapping!$A:$B,2,FALSE()),"")</f>
        <v>Essential Living</v>
      </c>
    </row>
    <row r="60" customFormat="false" ht="12" hidden="false" customHeight="true" outlineLevel="0" collapsed="false">
      <c r="B60" s="11" t="n">
        <v>50</v>
      </c>
      <c r="C60" s="12" t="n">
        <v>46154</v>
      </c>
      <c r="D60" s="1" t="s">
        <v>19</v>
      </c>
      <c r="E60" s="13" t="n">
        <v>31200</v>
      </c>
      <c r="F60" s="11" t="s">
        <v>28</v>
      </c>
      <c r="G60" s="15" t="s">
        <v>21</v>
      </c>
      <c r="H60" s="15" t="s">
        <v>6</v>
      </c>
      <c r="I60" s="16" t="s">
        <v>22</v>
      </c>
      <c r="J60" s="11" t="s">
        <v>89</v>
      </c>
      <c r="K60" s="1" t="str">
        <f aca="false">IFERROR(VLOOKUP(F60,Kategori_Mapping!$A:$B,2,FALSE()),"")</f>
        <v>Essential Living</v>
      </c>
    </row>
    <row r="61" customFormat="false" ht="12" hidden="false" customHeight="true" outlineLevel="0" collapsed="false">
      <c r="B61" s="11" t="n">
        <v>51</v>
      </c>
      <c r="C61" s="12" t="n">
        <v>46154</v>
      </c>
      <c r="D61" s="1" t="s">
        <v>19</v>
      </c>
      <c r="E61" s="13" t="n">
        <v>15000</v>
      </c>
      <c r="F61" s="11" t="s">
        <v>54</v>
      </c>
      <c r="G61" s="15" t="s">
        <v>41</v>
      </c>
      <c r="H61" s="15" t="s">
        <v>33</v>
      </c>
      <c r="I61" s="16" t="s">
        <v>42</v>
      </c>
      <c r="J61" s="11" t="s">
        <v>90</v>
      </c>
      <c r="K61" s="1" t="str">
        <f aca="false">IFERROR(VLOOKUP(F61,Kategori_Mapping!$A:$B,2,FALSE()),"")</f>
        <v>Essential Living</v>
      </c>
    </row>
    <row r="62" customFormat="false" ht="12" hidden="false" customHeight="true" outlineLevel="0" collapsed="false">
      <c r="B62" s="11" t="n">
        <v>52</v>
      </c>
      <c r="C62" s="12" t="n">
        <v>46154</v>
      </c>
      <c r="D62" s="1" t="s">
        <v>19</v>
      </c>
      <c r="E62" s="13" t="n">
        <v>30700</v>
      </c>
      <c r="F62" s="11" t="s">
        <v>28</v>
      </c>
      <c r="G62" s="15" t="s">
        <v>21</v>
      </c>
      <c r="H62" s="15" t="s">
        <v>6</v>
      </c>
      <c r="I62" s="16" t="s">
        <v>22</v>
      </c>
      <c r="J62" s="11" t="s">
        <v>91</v>
      </c>
      <c r="K62" s="1" t="str">
        <f aca="false">IFERROR(VLOOKUP(F62,Kategori_Mapping!$A:$B,2,FALSE()),"")</f>
        <v>Essential Living</v>
      </c>
    </row>
    <row r="63" customFormat="false" ht="12" hidden="false" customHeight="true" outlineLevel="0" collapsed="false">
      <c r="B63" s="11" t="n">
        <v>53</v>
      </c>
      <c r="C63" s="12" t="n">
        <v>46155</v>
      </c>
      <c r="D63" s="1" t="s">
        <v>16</v>
      </c>
      <c r="E63" s="13" t="n">
        <v>29990</v>
      </c>
      <c r="F63" s="11" t="s">
        <v>35</v>
      </c>
      <c r="J63" s="11" t="s">
        <v>36</v>
      </c>
      <c r="K63" s="1" t="str">
        <f aca="false">IFERROR(VLOOKUP(F63,Kategori_Mapping!$A:$B,2,FALSE()),"")</f>
        <v>Income</v>
      </c>
    </row>
    <row r="64" customFormat="false" ht="12" hidden="false" customHeight="true" outlineLevel="0" collapsed="false">
      <c r="B64" s="11" t="n">
        <v>54</v>
      </c>
      <c r="C64" s="12" t="n">
        <v>46155</v>
      </c>
      <c r="D64" s="1" t="s">
        <v>19</v>
      </c>
      <c r="E64" s="13" t="n">
        <v>67000</v>
      </c>
      <c r="F64" s="11" t="s">
        <v>73</v>
      </c>
      <c r="G64" s="14" t="s">
        <v>21</v>
      </c>
      <c r="H64" s="14" t="s">
        <v>6</v>
      </c>
      <c r="I64" s="14" t="s">
        <v>55</v>
      </c>
      <c r="J64" s="11" t="s">
        <v>92</v>
      </c>
      <c r="K64" s="1" t="str">
        <f aca="false">IFERROR(VLOOKUP(F64,Kategori_Mapping!$A:$B,2,FALSE()),"")</f>
        <v>Flexible + Social</v>
      </c>
    </row>
    <row r="65" customFormat="false" ht="12" hidden="false" customHeight="true" outlineLevel="0" collapsed="false">
      <c r="B65" s="11" t="n">
        <v>55</v>
      </c>
      <c r="C65" s="12" t="n">
        <v>46155</v>
      </c>
      <c r="D65" s="1" t="s">
        <v>19</v>
      </c>
      <c r="E65" s="13" t="n">
        <v>26700</v>
      </c>
      <c r="F65" s="11" t="s">
        <v>28</v>
      </c>
      <c r="G65" s="15" t="s">
        <v>21</v>
      </c>
      <c r="H65" s="15" t="s">
        <v>6</v>
      </c>
      <c r="I65" s="16" t="s">
        <v>22</v>
      </c>
      <c r="J65" s="11" t="s">
        <v>93</v>
      </c>
      <c r="K65" s="1" t="str">
        <f aca="false">IFERROR(VLOOKUP(F65,Kategori_Mapping!$A:$B,2,FALSE()),"")</f>
        <v>Essential Living</v>
      </c>
    </row>
    <row r="66" customFormat="false" ht="12" hidden="false" customHeight="true" outlineLevel="0" collapsed="false">
      <c r="B66" s="11" t="n">
        <v>56</v>
      </c>
      <c r="C66" s="12" t="n">
        <v>46155</v>
      </c>
      <c r="D66" s="1" t="s">
        <v>19</v>
      </c>
      <c r="E66" s="13" t="n">
        <v>15000</v>
      </c>
      <c r="F66" s="11" t="s">
        <v>54</v>
      </c>
      <c r="G66" s="15" t="s">
        <v>21</v>
      </c>
      <c r="H66" s="15" t="s">
        <v>6</v>
      </c>
      <c r="I66" s="16" t="s">
        <v>22</v>
      </c>
      <c r="J66" s="11" t="s">
        <v>94</v>
      </c>
      <c r="K66" s="1" t="str">
        <f aca="false">IFERROR(VLOOKUP(F66,Kategori_Mapping!$A:$B,2,FALSE()),"")</f>
        <v>Essential Living</v>
      </c>
    </row>
    <row r="67" customFormat="false" ht="12" hidden="false" customHeight="true" outlineLevel="0" collapsed="false">
      <c r="B67" s="11" t="n">
        <v>57</v>
      </c>
      <c r="C67" s="12" t="n">
        <v>46155</v>
      </c>
      <c r="D67" s="1" t="s">
        <v>19</v>
      </c>
      <c r="E67" s="13" t="n">
        <v>20000</v>
      </c>
      <c r="F67" s="11" t="s">
        <v>54</v>
      </c>
      <c r="G67" s="15" t="s">
        <v>21</v>
      </c>
      <c r="H67" s="15" t="s">
        <v>6</v>
      </c>
      <c r="I67" s="16" t="s">
        <v>55</v>
      </c>
      <c r="J67" s="11" t="s">
        <v>95</v>
      </c>
      <c r="K67" s="1" t="str">
        <f aca="false">IFERROR(VLOOKUP(F67,Kategori_Mapping!$A:$B,2,FALSE()),"")</f>
        <v>Essential Living</v>
      </c>
    </row>
    <row r="68" customFormat="false" ht="12" hidden="false" customHeight="true" outlineLevel="0" collapsed="false">
      <c r="B68" s="11" t="n">
        <v>58</v>
      </c>
      <c r="C68" s="12" t="n">
        <v>46156</v>
      </c>
      <c r="D68" s="1" t="s">
        <v>19</v>
      </c>
      <c r="E68" s="13" t="n">
        <v>95800</v>
      </c>
      <c r="F68" s="11" t="s">
        <v>30</v>
      </c>
      <c r="G68" s="15" t="s">
        <v>41</v>
      </c>
      <c r="H68" s="15" t="s">
        <v>33</v>
      </c>
      <c r="I68" s="16" t="s">
        <v>31</v>
      </c>
      <c r="J68" s="11" t="s">
        <v>96</v>
      </c>
      <c r="K68" s="1" t="str">
        <f aca="false">IFERROR(VLOOKUP(F68,Kategori_Mapping!$A:$B,2,FALSE()),"")</f>
        <v>Flexible + Social</v>
      </c>
    </row>
    <row r="69" customFormat="false" ht="12" hidden="false" customHeight="true" outlineLevel="0" collapsed="false">
      <c r="B69" s="11" t="n">
        <v>59</v>
      </c>
      <c r="C69" s="12" t="n">
        <v>46156</v>
      </c>
      <c r="D69" s="1" t="s">
        <v>19</v>
      </c>
      <c r="E69" s="13" t="n">
        <v>370000</v>
      </c>
      <c r="F69" s="11" t="s">
        <v>30</v>
      </c>
      <c r="G69" s="15" t="s">
        <v>21</v>
      </c>
      <c r="H69" s="15" t="s">
        <v>6</v>
      </c>
      <c r="I69" s="16" t="s">
        <v>55</v>
      </c>
      <c r="J69" s="11" t="s">
        <v>97</v>
      </c>
      <c r="K69" s="1" t="str">
        <f aca="false">IFERROR(VLOOKUP(F69,Kategori_Mapping!$A:$B,2,FALSE()),"")</f>
        <v>Flexible + Social</v>
      </c>
    </row>
    <row r="70" customFormat="false" ht="12" hidden="false" customHeight="true" outlineLevel="0" collapsed="false">
      <c r="B70" s="11" t="n">
        <v>60</v>
      </c>
      <c r="C70" s="12" t="n">
        <v>46156</v>
      </c>
      <c r="D70" s="1" t="s">
        <v>19</v>
      </c>
      <c r="E70" s="13" t="n">
        <v>200000</v>
      </c>
      <c r="F70" s="11" t="s">
        <v>26</v>
      </c>
      <c r="G70" s="15" t="s">
        <v>41</v>
      </c>
      <c r="H70" s="15" t="s">
        <v>33</v>
      </c>
      <c r="I70" s="16" t="s">
        <v>55</v>
      </c>
      <c r="J70" s="11" t="s">
        <v>98</v>
      </c>
      <c r="K70" s="1" t="str">
        <f aca="false">IFERROR(VLOOKUP(F70,Kategori_Mapping!$A:$B,2,FALSE()),"")</f>
        <v>Flexible + Social</v>
      </c>
    </row>
    <row r="71" customFormat="false" ht="12" hidden="false" customHeight="true" outlineLevel="0" collapsed="false">
      <c r="B71" s="11" t="n">
        <v>61</v>
      </c>
      <c r="C71" s="12" t="n">
        <v>46156</v>
      </c>
      <c r="D71" s="1" t="s">
        <v>19</v>
      </c>
      <c r="E71" s="13" t="n">
        <v>23200</v>
      </c>
      <c r="F71" s="11" t="s">
        <v>28</v>
      </c>
      <c r="G71" s="15" t="s">
        <v>21</v>
      </c>
      <c r="H71" s="15" t="s">
        <v>6</v>
      </c>
      <c r="I71" s="16" t="s">
        <v>22</v>
      </c>
      <c r="J71" s="11" t="s">
        <v>99</v>
      </c>
      <c r="K71" s="1" t="str">
        <f aca="false">IFERROR(VLOOKUP(F71,Kategori_Mapping!$A:$B,2,FALSE()),"")</f>
        <v>Essential Living</v>
      </c>
    </row>
    <row r="72" customFormat="false" ht="12" hidden="false" customHeight="true" outlineLevel="0" collapsed="false">
      <c r="B72" s="11" t="n">
        <v>62</v>
      </c>
      <c r="C72" s="12" t="n">
        <v>46156</v>
      </c>
      <c r="D72" s="1" t="s">
        <v>19</v>
      </c>
      <c r="E72" s="13" t="n">
        <v>27700</v>
      </c>
      <c r="F72" s="11" t="s">
        <v>28</v>
      </c>
      <c r="G72" s="15" t="s">
        <v>21</v>
      </c>
      <c r="H72" s="15" t="s">
        <v>6</v>
      </c>
      <c r="I72" s="16" t="s">
        <v>22</v>
      </c>
      <c r="J72" s="11" t="s">
        <v>100</v>
      </c>
      <c r="K72" s="1" t="str">
        <f aca="false">IFERROR(VLOOKUP(F72,Kategori_Mapping!$A:$B,2,FALSE()),"")</f>
        <v>Essential Living</v>
      </c>
    </row>
    <row r="73" customFormat="false" ht="12" hidden="false" customHeight="true" outlineLevel="0" collapsed="false">
      <c r="B73" s="11" t="n">
        <v>63</v>
      </c>
      <c r="C73" s="12" t="n">
        <v>46156</v>
      </c>
      <c r="D73" s="1" t="s">
        <v>19</v>
      </c>
      <c r="E73" s="13" t="n">
        <v>50000</v>
      </c>
      <c r="F73" s="11" t="s">
        <v>101</v>
      </c>
      <c r="G73" s="15" t="s">
        <v>21</v>
      </c>
      <c r="H73" s="15" t="s">
        <v>6</v>
      </c>
      <c r="I73" s="16" t="s">
        <v>22</v>
      </c>
      <c r="J73" s="11" t="s">
        <v>102</v>
      </c>
      <c r="K73" s="1" t="str">
        <f aca="false">IFERROR(VLOOKUP(F73,Kategori_Mapping!$A:$B,2,FALSE()),"")</f>
        <v>Flexible + Social</v>
      </c>
    </row>
    <row r="74" customFormat="false" ht="12" hidden="false" customHeight="true" outlineLevel="0" collapsed="false">
      <c r="B74" s="11" t="n">
        <v>64</v>
      </c>
      <c r="C74" s="12" t="n">
        <v>46156</v>
      </c>
      <c r="D74" s="1" t="s">
        <v>19</v>
      </c>
      <c r="E74" s="13" t="n">
        <v>50000</v>
      </c>
      <c r="F74" s="11" t="s">
        <v>54</v>
      </c>
      <c r="G74" s="15" t="s">
        <v>21</v>
      </c>
      <c r="H74" s="15" t="s">
        <v>33</v>
      </c>
      <c r="I74" s="16" t="s">
        <v>22</v>
      </c>
      <c r="J74" s="11" t="s">
        <v>103</v>
      </c>
      <c r="K74" s="1" t="str">
        <f aca="false">IFERROR(VLOOKUP(F74,Kategori_Mapping!$A:$B,2,FALSE()),"")</f>
        <v>Essential Living</v>
      </c>
    </row>
    <row r="75" customFormat="false" ht="12" hidden="false" customHeight="true" outlineLevel="0" collapsed="false">
      <c r="B75" s="11" t="n">
        <v>65</v>
      </c>
      <c r="C75" s="12" t="n">
        <v>46156</v>
      </c>
      <c r="D75" s="1" t="s">
        <v>19</v>
      </c>
      <c r="E75" s="13" t="n">
        <v>25000</v>
      </c>
      <c r="F75" s="11" t="s">
        <v>54</v>
      </c>
      <c r="G75" s="15" t="s">
        <v>21</v>
      </c>
      <c r="H75" s="15" t="s">
        <v>6</v>
      </c>
      <c r="I75" s="16" t="s">
        <v>55</v>
      </c>
      <c r="J75" s="11" t="s">
        <v>104</v>
      </c>
      <c r="K75" s="1" t="str">
        <f aca="false">IFERROR(VLOOKUP(F75,Kategori_Mapping!$A:$B,2,FALSE()),"")</f>
        <v>Essential Living</v>
      </c>
    </row>
    <row r="76" customFormat="false" ht="12" hidden="false" customHeight="true" outlineLevel="0" collapsed="false">
      <c r="B76" s="11" t="n">
        <v>66</v>
      </c>
      <c r="C76" s="12" t="n">
        <v>46156</v>
      </c>
      <c r="D76" s="1" t="s">
        <v>19</v>
      </c>
      <c r="E76" s="13" t="n">
        <v>7500</v>
      </c>
      <c r="F76" s="11" t="s">
        <v>28</v>
      </c>
      <c r="G76" s="15" t="s">
        <v>21</v>
      </c>
      <c r="H76" s="15" t="s">
        <v>6</v>
      </c>
      <c r="I76" s="16" t="s">
        <v>22</v>
      </c>
      <c r="J76" s="11" t="s">
        <v>105</v>
      </c>
      <c r="K76" s="1" t="str">
        <f aca="false">IFERROR(VLOOKUP(F76,Kategori_Mapping!$A:$B,2,FALSE()),"")</f>
        <v>Essential Living</v>
      </c>
    </row>
    <row r="77" customFormat="false" ht="12" hidden="false" customHeight="true" outlineLevel="0" collapsed="false">
      <c r="B77" s="11" t="n">
        <v>67</v>
      </c>
      <c r="C77" s="12" t="n">
        <v>46156</v>
      </c>
      <c r="D77" s="1" t="s">
        <v>19</v>
      </c>
      <c r="E77" s="13" t="n">
        <v>21200</v>
      </c>
      <c r="F77" s="11" t="s">
        <v>28</v>
      </c>
      <c r="G77" s="15" t="s">
        <v>21</v>
      </c>
      <c r="H77" s="15" t="s">
        <v>6</v>
      </c>
      <c r="I77" s="16" t="s">
        <v>22</v>
      </c>
      <c r="J77" s="11" t="s">
        <v>106</v>
      </c>
      <c r="K77" s="1" t="str">
        <f aca="false">IFERROR(VLOOKUP(F77,Kategori_Mapping!$A:$B,2,FALSE()),"")</f>
        <v>Essential Living</v>
      </c>
    </row>
    <row r="78" customFormat="false" ht="12" hidden="false" customHeight="true" outlineLevel="0" collapsed="false">
      <c r="B78" s="11" t="n">
        <v>68</v>
      </c>
      <c r="C78" s="12" t="n">
        <v>46156</v>
      </c>
      <c r="D78" s="1" t="s">
        <v>19</v>
      </c>
      <c r="E78" s="13" t="n">
        <v>40200</v>
      </c>
      <c r="F78" s="11" t="s">
        <v>28</v>
      </c>
      <c r="G78" s="15" t="s">
        <v>21</v>
      </c>
      <c r="H78" s="15" t="s">
        <v>6</v>
      </c>
      <c r="I78" s="16" t="s">
        <v>22</v>
      </c>
      <c r="J78" s="11" t="s">
        <v>75</v>
      </c>
      <c r="K78" s="1" t="str">
        <f aca="false">IFERROR(VLOOKUP(F78,Kategori_Mapping!$A:$B,2,FALSE()),"")</f>
        <v>Essential Living</v>
      </c>
    </row>
    <row r="79" customFormat="false" ht="12" hidden="false" customHeight="true" outlineLevel="0" collapsed="false">
      <c r="B79" s="11" t="n">
        <v>69</v>
      </c>
      <c r="C79" s="12" t="n">
        <v>46157</v>
      </c>
      <c r="D79" s="1" t="s">
        <v>19</v>
      </c>
      <c r="E79" s="13" t="n">
        <v>57100</v>
      </c>
      <c r="F79" s="11" t="s">
        <v>30</v>
      </c>
      <c r="G79" s="15" t="s">
        <v>41</v>
      </c>
      <c r="H79" s="15" t="s">
        <v>33</v>
      </c>
      <c r="I79" s="16" t="s">
        <v>31</v>
      </c>
      <c r="J79" s="11" t="s">
        <v>107</v>
      </c>
      <c r="K79" s="1" t="str">
        <f aca="false">IFERROR(VLOOKUP(F79,Kategori_Mapping!$A:$B,2,FALSE()),"")</f>
        <v>Flexible + Social</v>
      </c>
    </row>
    <row r="80" customFormat="false" ht="12" hidden="false" customHeight="true" outlineLevel="0" collapsed="false">
      <c r="B80" s="11" t="n">
        <v>70</v>
      </c>
      <c r="C80" s="12" t="n">
        <v>46157</v>
      </c>
      <c r="D80" s="1" t="s">
        <v>19</v>
      </c>
      <c r="E80" s="13" t="n">
        <v>16000</v>
      </c>
      <c r="F80" s="11" t="s">
        <v>54</v>
      </c>
      <c r="G80" s="15" t="s">
        <v>41</v>
      </c>
      <c r="H80" s="15" t="s">
        <v>33</v>
      </c>
      <c r="I80" s="16" t="s">
        <v>55</v>
      </c>
      <c r="J80" s="11" t="s">
        <v>108</v>
      </c>
      <c r="K80" s="1" t="str">
        <f aca="false">IFERROR(VLOOKUP(F80,Kategori_Mapping!$A:$B,2,FALSE()),"")</f>
        <v>Essential Living</v>
      </c>
    </row>
    <row r="81" customFormat="false" ht="12" hidden="false" customHeight="true" outlineLevel="0" collapsed="false">
      <c r="B81" s="11" t="n">
        <v>71</v>
      </c>
      <c r="C81" s="12" t="n">
        <v>46157</v>
      </c>
      <c r="D81" s="1" t="s">
        <v>19</v>
      </c>
      <c r="E81" s="13" t="n">
        <v>15000</v>
      </c>
      <c r="F81" s="11" t="s">
        <v>54</v>
      </c>
      <c r="G81" s="15" t="s">
        <v>41</v>
      </c>
      <c r="H81" s="15" t="s">
        <v>33</v>
      </c>
      <c r="I81" s="16" t="s">
        <v>55</v>
      </c>
      <c r="J81" s="11" t="s">
        <v>109</v>
      </c>
      <c r="K81" s="1" t="str">
        <f aca="false">IFERROR(VLOOKUP(F81,Kategori_Mapping!$A:$B,2,FALSE()),"")</f>
        <v>Essential Living</v>
      </c>
    </row>
    <row r="82" customFormat="false" ht="12" hidden="false" customHeight="true" outlineLevel="0" collapsed="false">
      <c r="B82" s="11" t="n">
        <v>72</v>
      </c>
      <c r="C82" s="12" t="n">
        <v>46157</v>
      </c>
      <c r="D82" s="1" t="s">
        <v>16</v>
      </c>
      <c r="E82" s="13" t="n">
        <v>200000</v>
      </c>
      <c r="F82" s="11" t="s">
        <v>35</v>
      </c>
      <c r="J82" s="11" t="s">
        <v>110</v>
      </c>
      <c r="K82" s="1" t="str">
        <f aca="false">IFERROR(VLOOKUP(F82,Kategori_Mapping!$A:$B,2,FALSE()),"")</f>
        <v>Income</v>
      </c>
    </row>
    <row r="83" customFormat="false" ht="12" hidden="false" customHeight="true" outlineLevel="0" collapsed="false">
      <c r="B83" s="11" t="n">
        <v>73</v>
      </c>
      <c r="C83" s="12" t="n">
        <v>46158</v>
      </c>
      <c r="D83" s="1" t="s">
        <v>19</v>
      </c>
      <c r="E83" s="13" t="n">
        <v>16000</v>
      </c>
      <c r="F83" s="11" t="s">
        <v>28</v>
      </c>
      <c r="G83" s="14" t="s">
        <v>21</v>
      </c>
      <c r="H83" s="14" t="s">
        <v>6</v>
      </c>
      <c r="I83" s="14" t="s">
        <v>22</v>
      </c>
      <c r="J83" s="11" t="s">
        <v>111</v>
      </c>
      <c r="K83" s="1" t="str">
        <f aca="false">IFERROR(VLOOKUP(F83,Kategori_Mapping!$A:$B,2,FALSE()),"")</f>
        <v>Essential Living</v>
      </c>
    </row>
    <row r="84" customFormat="false" ht="12" hidden="false" customHeight="true" outlineLevel="0" collapsed="false">
      <c r="B84" s="11" t="n">
        <v>74</v>
      </c>
      <c r="C84" s="12" t="n">
        <v>46158</v>
      </c>
      <c r="D84" s="1" t="s">
        <v>19</v>
      </c>
      <c r="E84" s="13" t="n">
        <v>71000</v>
      </c>
      <c r="F84" s="11" t="s">
        <v>28</v>
      </c>
      <c r="G84" s="15" t="s">
        <v>21</v>
      </c>
      <c r="H84" s="15" t="s">
        <v>6</v>
      </c>
      <c r="I84" s="16" t="s">
        <v>22</v>
      </c>
      <c r="J84" s="11" t="s">
        <v>112</v>
      </c>
      <c r="K84" s="1" t="str">
        <f aca="false">IFERROR(VLOOKUP(F84,Kategori_Mapping!$A:$B,2,FALSE()),"")</f>
        <v>Essential Living</v>
      </c>
    </row>
    <row r="85" customFormat="false" ht="12" hidden="false" customHeight="true" outlineLevel="0" collapsed="false">
      <c r="B85" s="11" t="n">
        <v>75</v>
      </c>
      <c r="C85" s="12" t="n">
        <v>46158</v>
      </c>
      <c r="D85" s="1" t="s">
        <v>19</v>
      </c>
      <c r="E85" s="13" t="n">
        <v>50000</v>
      </c>
      <c r="F85" s="11" t="s">
        <v>26</v>
      </c>
      <c r="G85" s="15" t="s">
        <v>41</v>
      </c>
      <c r="H85" s="15" t="s">
        <v>33</v>
      </c>
      <c r="I85" s="16" t="s">
        <v>55</v>
      </c>
      <c r="J85" s="11" t="s">
        <v>79</v>
      </c>
      <c r="K85" s="1" t="str">
        <f aca="false">IFERROR(VLOOKUP(F85,Kategori_Mapping!$A:$B,2,FALSE()),"")</f>
        <v>Flexible + Social</v>
      </c>
    </row>
    <row r="86" customFormat="false" ht="12" hidden="false" customHeight="true" outlineLevel="0" collapsed="false">
      <c r="B86" s="11" t="n">
        <v>76</v>
      </c>
      <c r="C86" s="12" t="n">
        <v>46158</v>
      </c>
      <c r="D86" s="1" t="s">
        <v>19</v>
      </c>
      <c r="E86" s="13" t="n">
        <v>300000</v>
      </c>
      <c r="F86" s="11" t="s">
        <v>26</v>
      </c>
      <c r="G86" s="15" t="s">
        <v>21</v>
      </c>
      <c r="H86" s="15" t="s">
        <v>6</v>
      </c>
      <c r="I86" s="16" t="s">
        <v>22</v>
      </c>
      <c r="J86" s="11" t="s">
        <v>113</v>
      </c>
      <c r="K86" s="1" t="str">
        <f aca="false">IFERROR(VLOOKUP(F86,Kategori_Mapping!$A:$B,2,FALSE()),"")</f>
        <v>Flexible + Social</v>
      </c>
    </row>
    <row r="87" customFormat="false" ht="12" hidden="false" customHeight="true" outlineLevel="0" collapsed="false">
      <c r="B87" s="11" t="n">
        <v>77</v>
      </c>
      <c r="C87" s="12" t="n">
        <v>46159</v>
      </c>
      <c r="D87" s="1" t="s">
        <v>19</v>
      </c>
      <c r="E87" s="13" t="n">
        <v>110000</v>
      </c>
      <c r="F87" s="11" t="s">
        <v>114</v>
      </c>
      <c r="G87" s="15" t="s">
        <v>21</v>
      </c>
      <c r="H87" s="15" t="s">
        <v>6</v>
      </c>
      <c r="I87" s="16" t="s">
        <v>22</v>
      </c>
      <c r="J87" s="11" t="s">
        <v>115</v>
      </c>
      <c r="K87" s="1" t="str">
        <f aca="false">IFERROR(VLOOKUP(F87,Kategori_Mapping!$A:$B,2,FALSE()),"")</f>
        <v>Flexible + Social</v>
      </c>
    </row>
    <row r="88" customFormat="false" ht="12" hidden="false" customHeight="true" outlineLevel="0" collapsed="false">
      <c r="B88" s="11" t="n">
        <v>78</v>
      </c>
      <c r="C88" s="12" t="n">
        <v>46159</v>
      </c>
      <c r="D88" s="1" t="s">
        <v>19</v>
      </c>
      <c r="E88" s="13" t="n">
        <v>157989</v>
      </c>
      <c r="F88" s="11" t="s">
        <v>73</v>
      </c>
      <c r="G88" s="15" t="s">
        <v>21</v>
      </c>
      <c r="H88" s="15" t="s">
        <v>33</v>
      </c>
      <c r="I88" s="16" t="s">
        <v>55</v>
      </c>
      <c r="J88" s="11" t="s">
        <v>116</v>
      </c>
      <c r="K88" s="1" t="str">
        <f aca="false">IFERROR(VLOOKUP(F88,Kategori_Mapping!$A:$B,2,FALSE()),"")</f>
        <v>Flexible + Social</v>
      </c>
    </row>
    <row r="89" customFormat="false" ht="12" hidden="false" customHeight="true" outlineLevel="0" collapsed="false">
      <c r="B89" s="11" t="n">
        <v>79</v>
      </c>
      <c r="C89" s="12" t="n">
        <v>46161</v>
      </c>
      <c r="D89" s="1" t="s">
        <v>19</v>
      </c>
      <c r="E89" s="13" t="n">
        <v>43700</v>
      </c>
      <c r="F89" s="11" t="s">
        <v>28</v>
      </c>
      <c r="G89" s="15" t="s">
        <v>21</v>
      </c>
      <c r="H89" s="15" t="s">
        <v>6</v>
      </c>
      <c r="I89" s="16" t="s">
        <v>22</v>
      </c>
      <c r="J89" s="11" t="s">
        <v>117</v>
      </c>
      <c r="K89" s="1" t="str">
        <f aca="false">IFERROR(VLOOKUP(F89,Kategori_Mapping!$A:$B,2,FALSE()),"")</f>
        <v>Essential Living</v>
      </c>
    </row>
    <row r="90" customFormat="false" ht="12" hidden="false" customHeight="true" outlineLevel="0" collapsed="false">
      <c r="B90" s="11" t="n">
        <v>80</v>
      </c>
      <c r="C90" s="12" t="n">
        <v>46161</v>
      </c>
      <c r="D90" s="1" t="s">
        <v>19</v>
      </c>
      <c r="E90" s="13" t="n">
        <v>30000</v>
      </c>
      <c r="F90" s="11" t="s">
        <v>54</v>
      </c>
      <c r="G90" s="15" t="s">
        <v>21</v>
      </c>
      <c r="H90" s="15" t="s">
        <v>6</v>
      </c>
      <c r="I90" s="16" t="s">
        <v>55</v>
      </c>
      <c r="J90" s="11" t="s">
        <v>72</v>
      </c>
      <c r="K90" s="1" t="str">
        <f aca="false">IFERROR(VLOOKUP(F90,Kategori_Mapping!$A:$B,2,FALSE()),"")</f>
        <v>Essential Living</v>
      </c>
    </row>
    <row r="91" customFormat="false" ht="12" hidden="false" customHeight="true" outlineLevel="0" collapsed="false">
      <c r="B91" s="11" t="n">
        <v>81</v>
      </c>
      <c r="C91" s="12" t="n">
        <v>46161</v>
      </c>
      <c r="D91" s="1" t="s">
        <v>19</v>
      </c>
      <c r="E91" s="13" t="n">
        <v>23000</v>
      </c>
      <c r="F91" s="11" t="s">
        <v>73</v>
      </c>
      <c r="G91" s="15" t="s">
        <v>21</v>
      </c>
      <c r="H91" s="15" t="s">
        <v>6</v>
      </c>
      <c r="I91" s="16" t="s">
        <v>22</v>
      </c>
      <c r="J91" s="11" t="s">
        <v>118</v>
      </c>
      <c r="K91" s="1" t="str">
        <f aca="false">IFERROR(VLOOKUP(F91,Kategori_Mapping!$A:$B,2,FALSE()),"")</f>
        <v>Flexible + Social</v>
      </c>
    </row>
    <row r="92" customFormat="false" ht="12" hidden="false" customHeight="true" outlineLevel="0" collapsed="false">
      <c r="B92" s="11" t="n">
        <v>82</v>
      </c>
      <c r="C92" s="12" t="n">
        <v>46161</v>
      </c>
      <c r="D92" s="1" t="s">
        <v>19</v>
      </c>
      <c r="E92" s="13" t="n">
        <v>250000</v>
      </c>
      <c r="F92" s="11" t="s">
        <v>26</v>
      </c>
      <c r="G92" s="15" t="s">
        <v>41</v>
      </c>
      <c r="H92" s="15" t="s">
        <v>33</v>
      </c>
      <c r="I92" s="16" t="s">
        <v>55</v>
      </c>
      <c r="J92" s="11" t="s">
        <v>119</v>
      </c>
      <c r="K92" s="1" t="str">
        <f aca="false">IFERROR(VLOOKUP(F92,Kategori_Mapping!$A:$B,2,FALSE()),"")</f>
        <v>Flexible + Social</v>
      </c>
    </row>
    <row r="93" customFormat="false" ht="12" hidden="false" customHeight="true" outlineLevel="0" collapsed="false">
      <c r="B93" s="11" t="n">
        <v>83</v>
      </c>
      <c r="C93" s="12" t="n">
        <v>46162</v>
      </c>
      <c r="D93" s="1" t="s">
        <v>19</v>
      </c>
      <c r="E93" s="13" t="n">
        <v>41200</v>
      </c>
      <c r="F93" s="11" t="s">
        <v>28</v>
      </c>
      <c r="G93" s="15" t="s">
        <v>21</v>
      </c>
      <c r="H93" s="15" t="s">
        <v>6</v>
      </c>
      <c r="I93" s="16" t="s">
        <v>22</v>
      </c>
      <c r="J93" s="11" t="s">
        <v>75</v>
      </c>
      <c r="K93" s="1" t="str">
        <f aca="false">IFERROR(VLOOKUP(F93,Kategori_Mapping!$A:$B,2,FALSE()),"")</f>
        <v>Essential Living</v>
      </c>
    </row>
    <row r="94" customFormat="false" ht="12" hidden="false" customHeight="true" outlineLevel="0" collapsed="false">
      <c r="B94" s="11" t="n">
        <v>84</v>
      </c>
      <c r="C94" s="12" t="n">
        <v>46162</v>
      </c>
      <c r="D94" s="1" t="s">
        <v>19</v>
      </c>
      <c r="E94" s="13" t="n">
        <v>35000</v>
      </c>
      <c r="F94" s="11" t="s">
        <v>54</v>
      </c>
      <c r="G94" s="15" t="s">
        <v>21</v>
      </c>
      <c r="H94" s="15" t="s">
        <v>6</v>
      </c>
      <c r="I94" s="16" t="s">
        <v>22</v>
      </c>
      <c r="J94" s="11" t="s">
        <v>120</v>
      </c>
      <c r="K94" s="1" t="str">
        <f aca="false">IFERROR(VLOOKUP(F94,Kategori_Mapping!$A:$B,2,FALSE()),"")</f>
        <v>Essential Living</v>
      </c>
    </row>
    <row r="95" customFormat="false" ht="12" hidden="false" customHeight="true" outlineLevel="0" collapsed="false">
      <c r="B95" s="11" t="n">
        <v>85</v>
      </c>
      <c r="C95" s="12" t="n">
        <v>46162</v>
      </c>
      <c r="D95" s="1" t="s">
        <v>19</v>
      </c>
      <c r="E95" s="13" t="n">
        <v>128000</v>
      </c>
      <c r="F95" s="11" t="s">
        <v>24</v>
      </c>
      <c r="G95" s="15" t="s">
        <v>21</v>
      </c>
      <c r="H95" s="15" t="s">
        <v>6</v>
      </c>
      <c r="I95" s="16" t="s">
        <v>55</v>
      </c>
      <c r="J95" s="11" t="s">
        <v>121</v>
      </c>
      <c r="K95" s="1" t="str">
        <f aca="false">IFERROR(VLOOKUP(F95,Kategori_Mapping!$A:$B,2,FALSE()),"")</f>
        <v>Future Building</v>
      </c>
    </row>
    <row r="96" customFormat="false" ht="12" hidden="false" customHeight="true" outlineLevel="0" collapsed="false">
      <c r="B96" s="11" t="n">
        <v>86</v>
      </c>
      <c r="C96" s="12" t="n">
        <v>46162</v>
      </c>
      <c r="D96" s="1" t="s">
        <v>19</v>
      </c>
      <c r="E96" s="13" t="n">
        <v>43517</v>
      </c>
      <c r="F96" s="11" t="s">
        <v>30</v>
      </c>
      <c r="G96" s="15" t="s">
        <v>41</v>
      </c>
      <c r="H96" s="15" t="s">
        <v>33</v>
      </c>
      <c r="I96" s="16" t="s">
        <v>55</v>
      </c>
      <c r="J96" s="11" t="s">
        <v>122</v>
      </c>
      <c r="K96" s="1" t="str">
        <f aca="false">IFERROR(VLOOKUP(F96,Kategori_Mapping!$A:$B,2,FALSE()),"")</f>
        <v>Flexible + Social</v>
      </c>
    </row>
    <row r="97" customFormat="false" ht="12" hidden="false" customHeight="true" outlineLevel="0" collapsed="false">
      <c r="B97" s="11" t="n">
        <v>87</v>
      </c>
      <c r="C97" s="12" t="n">
        <v>46163</v>
      </c>
      <c r="D97" s="1" t="s">
        <v>19</v>
      </c>
      <c r="E97" s="13" t="n">
        <v>31700</v>
      </c>
      <c r="F97" s="11" t="s">
        <v>28</v>
      </c>
      <c r="G97" s="15" t="s">
        <v>21</v>
      </c>
      <c r="H97" s="15" t="s">
        <v>6</v>
      </c>
      <c r="I97" s="16" t="s">
        <v>22</v>
      </c>
      <c r="J97" s="11" t="s">
        <v>91</v>
      </c>
      <c r="K97" s="1" t="str">
        <f aca="false">IFERROR(VLOOKUP(F97,Kategori_Mapping!$A:$B,2,FALSE()),"")</f>
        <v>Essential Living</v>
      </c>
    </row>
    <row r="98" customFormat="false" ht="12" hidden="false" customHeight="true" outlineLevel="0" collapsed="false">
      <c r="B98" s="11" t="n">
        <v>88</v>
      </c>
      <c r="C98" s="12" t="n">
        <v>46163</v>
      </c>
      <c r="D98" s="1" t="s">
        <v>19</v>
      </c>
      <c r="E98" s="13" t="n">
        <v>23500</v>
      </c>
      <c r="F98" s="11" t="s">
        <v>28</v>
      </c>
      <c r="G98" s="15" t="s">
        <v>21</v>
      </c>
      <c r="H98" s="15" t="s">
        <v>6</v>
      </c>
      <c r="I98" s="16" t="s">
        <v>22</v>
      </c>
      <c r="J98" s="11" t="s">
        <v>93</v>
      </c>
      <c r="K98" s="1" t="str">
        <f aca="false">IFERROR(VLOOKUP(F98,Kategori_Mapping!$A:$B,2,FALSE()),"")</f>
        <v>Essential Living</v>
      </c>
    </row>
    <row r="99" customFormat="false" ht="12" hidden="false" customHeight="true" outlineLevel="0" collapsed="false">
      <c r="B99" s="11" t="n">
        <v>89</v>
      </c>
      <c r="C99" s="12" t="n">
        <v>46163</v>
      </c>
      <c r="D99" s="1" t="s">
        <v>19</v>
      </c>
      <c r="E99" s="13" t="n">
        <v>2116000</v>
      </c>
      <c r="F99" s="11" t="s">
        <v>123</v>
      </c>
      <c r="G99" s="15" t="s">
        <v>21</v>
      </c>
      <c r="H99" s="15" t="s">
        <v>6</v>
      </c>
      <c r="I99" s="16" t="s">
        <v>22</v>
      </c>
      <c r="J99" s="11" t="s">
        <v>124</v>
      </c>
      <c r="K99" s="1" t="str">
        <f aca="false">IFERROR(VLOOKUP(F99,Kategori_Mapping!$A:$B,2,FALSE()),"")</f>
        <v>Essential Living</v>
      </c>
    </row>
    <row r="100" customFormat="false" ht="12" hidden="false" customHeight="true" outlineLevel="0" collapsed="false">
      <c r="B100" s="11" t="n">
        <v>90</v>
      </c>
      <c r="C100" s="12" t="n">
        <v>46163</v>
      </c>
      <c r="D100" s="1" t="s">
        <v>19</v>
      </c>
      <c r="E100" s="13" t="n">
        <v>52200</v>
      </c>
      <c r="F100" s="11" t="s">
        <v>28</v>
      </c>
      <c r="G100" s="15" t="s">
        <v>21</v>
      </c>
      <c r="H100" s="15" t="s">
        <v>6</v>
      </c>
      <c r="I100" s="16" t="s">
        <v>22</v>
      </c>
      <c r="J100" s="11" t="s">
        <v>125</v>
      </c>
      <c r="K100" s="1" t="str">
        <f aca="false">IFERROR(VLOOKUP(F100,Kategori_Mapping!$A:$B,2,FALSE()),"")</f>
        <v>Essential Living</v>
      </c>
    </row>
    <row r="101" customFormat="false" ht="12" hidden="false" customHeight="true" outlineLevel="0" collapsed="false">
      <c r="B101" s="11" t="n">
        <v>91</v>
      </c>
      <c r="C101" s="12" t="n">
        <v>46163</v>
      </c>
      <c r="D101" s="1" t="s">
        <v>16</v>
      </c>
      <c r="E101" s="13" t="n">
        <v>27853</v>
      </c>
      <c r="F101" s="11" t="s">
        <v>35</v>
      </c>
      <c r="J101" s="11" t="s">
        <v>36</v>
      </c>
      <c r="K101" s="1" t="str">
        <f aca="false">IFERROR(VLOOKUP(F101,Kategori_Mapping!$A:$B,2,FALSE()),"")</f>
        <v>Income</v>
      </c>
    </row>
    <row r="102" customFormat="false" ht="12" hidden="false" customHeight="true" outlineLevel="0" collapsed="false">
      <c r="B102" s="11" t="n">
        <v>92</v>
      </c>
      <c r="C102" s="12" t="n">
        <v>46163</v>
      </c>
      <c r="D102" s="1" t="s">
        <v>16</v>
      </c>
      <c r="E102" s="13" t="n">
        <v>5655655</v>
      </c>
      <c r="F102" s="11" t="s">
        <v>17</v>
      </c>
      <c r="J102" s="11" t="s">
        <v>126</v>
      </c>
      <c r="K102" s="1" t="str">
        <f aca="false">IFERROR(VLOOKUP(F102,Kategori_Mapping!$A:$B,2,FALSE()),"")</f>
        <v>Income</v>
      </c>
    </row>
    <row r="103" customFormat="false" ht="12" hidden="false" customHeight="true" outlineLevel="0" collapsed="false">
      <c r="B103" s="11" t="n">
        <v>93</v>
      </c>
      <c r="C103" s="12" t="n">
        <v>46163</v>
      </c>
      <c r="D103" s="1" t="s">
        <v>19</v>
      </c>
      <c r="E103" s="13" t="n">
        <v>502500</v>
      </c>
      <c r="F103" s="11" t="s">
        <v>73</v>
      </c>
      <c r="G103" s="14" t="s">
        <v>41</v>
      </c>
      <c r="H103" s="14" t="s">
        <v>33</v>
      </c>
      <c r="I103" s="14" t="s">
        <v>55</v>
      </c>
      <c r="J103" s="11" t="s">
        <v>127</v>
      </c>
      <c r="K103" s="1" t="str">
        <f aca="false">IFERROR(VLOOKUP(F103,Kategori_Mapping!$A:$B,2,FALSE()),"")</f>
        <v>Flexible + Social</v>
      </c>
    </row>
    <row r="104" customFormat="false" ht="12" hidden="false" customHeight="true" outlineLevel="0" collapsed="false">
      <c r="B104" s="11" t="n">
        <v>94</v>
      </c>
      <c r="C104" s="12" t="n">
        <v>46163</v>
      </c>
      <c r="D104" s="1" t="s">
        <v>19</v>
      </c>
      <c r="E104" s="13" t="n">
        <v>3601629</v>
      </c>
      <c r="F104" s="11" t="s">
        <v>128</v>
      </c>
      <c r="G104" s="15" t="s">
        <v>21</v>
      </c>
      <c r="H104" s="15" t="s">
        <v>6</v>
      </c>
      <c r="I104" s="16" t="s">
        <v>57</v>
      </c>
      <c r="J104" s="11" t="s">
        <v>129</v>
      </c>
      <c r="K104" s="1" t="str">
        <f aca="false">IFERROR(VLOOKUP(F104,Kategori_Mapping!$A:$B,2,FALSE()),"")</f>
        <v>Essential Living</v>
      </c>
    </row>
    <row r="105" customFormat="false" ht="12" hidden="false" customHeight="true" outlineLevel="0" collapsed="false">
      <c r="B105" s="11" t="n">
        <v>95</v>
      </c>
      <c r="C105" s="12" t="n">
        <v>46164</v>
      </c>
      <c r="D105" s="1" t="s">
        <v>19</v>
      </c>
      <c r="E105" s="13" t="n">
        <v>36850</v>
      </c>
      <c r="F105" s="11" t="s">
        <v>54</v>
      </c>
      <c r="G105" s="15" t="s">
        <v>21</v>
      </c>
      <c r="H105" s="15" t="s">
        <v>6</v>
      </c>
      <c r="I105" s="16" t="s">
        <v>55</v>
      </c>
      <c r="J105" s="11" t="s">
        <v>120</v>
      </c>
      <c r="K105" s="1" t="str">
        <f aca="false">IFERROR(VLOOKUP(F105,Kategori_Mapping!$A:$B,2,FALSE()),"")</f>
        <v>Essential Living</v>
      </c>
    </row>
    <row r="106" customFormat="false" ht="12" hidden="false" customHeight="true" outlineLevel="0" collapsed="false">
      <c r="B106" s="11" t="n">
        <v>96</v>
      </c>
      <c r="C106" s="12" t="n">
        <v>46164</v>
      </c>
      <c r="D106" s="1" t="s">
        <v>19</v>
      </c>
      <c r="E106" s="13" t="n">
        <v>152656</v>
      </c>
      <c r="F106" s="11" t="s">
        <v>73</v>
      </c>
      <c r="G106" s="15" t="s">
        <v>41</v>
      </c>
      <c r="H106" s="15" t="s">
        <v>33</v>
      </c>
      <c r="I106" s="16" t="s">
        <v>31</v>
      </c>
      <c r="J106" s="11" t="s">
        <v>130</v>
      </c>
      <c r="K106" s="1" t="str">
        <f aca="false">IFERROR(VLOOKUP(F106,Kategori_Mapping!$A:$B,2,FALSE()),"")</f>
        <v>Flexible + Social</v>
      </c>
    </row>
    <row r="107" customFormat="false" ht="12" hidden="false" customHeight="true" outlineLevel="0" collapsed="false">
      <c r="B107" s="11" t="n">
        <v>97</v>
      </c>
      <c r="C107" s="12" t="n">
        <v>46165</v>
      </c>
      <c r="D107" s="1" t="s">
        <v>19</v>
      </c>
      <c r="E107" s="13" t="n">
        <v>365000</v>
      </c>
      <c r="F107" s="11" t="s">
        <v>26</v>
      </c>
      <c r="G107" s="15" t="s">
        <v>41</v>
      </c>
      <c r="H107" s="15" t="s">
        <v>6</v>
      </c>
      <c r="I107" s="16" t="s">
        <v>55</v>
      </c>
      <c r="J107" s="11" t="s">
        <v>131</v>
      </c>
      <c r="K107" s="1" t="str">
        <f aca="false">IFERROR(VLOOKUP(F107,Kategori_Mapping!$A:$B,2,FALSE()),"")</f>
        <v>Flexible + Social</v>
      </c>
    </row>
    <row r="108" customFormat="false" ht="12" hidden="false" customHeight="true" outlineLevel="0" collapsed="false">
      <c r="B108" s="11" t="n">
        <v>98</v>
      </c>
      <c r="C108" s="12" t="n">
        <v>46165</v>
      </c>
      <c r="D108" s="1" t="s">
        <v>19</v>
      </c>
      <c r="E108" s="13" t="n">
        <v>45700</v>
      </c>
      <c r="F108" s="11" t="s">
        <v>28</v>
      </c>
      <c r="G108" s="15" t="s">
        <v>21</v>
      </c>
      <c r="H108" s="15" t="s">
        <v>6</v>
      </c>
      <c r="I108" s="16" t="s">
        <v>22</v>
      </c>
      <c r="J108" s="11" t="s">
        <v>132</v>
      </c>
      <c r="K108" s="1" t="str">
        <f aca="false">IFERROR(VLOOKUP(F108,Kategori_Mapping!$A:$B,2,FALSE()),"")</f>
        <v>Essential Living</v>
      </c>
    </row>
    <row r="109" customFormat="false" ht="12" hidden="false" customHeight="true" outlineLevel="0" collapsed="false">
      <c r="B109" s="11" t="n">
        <v>99</v>
      </c>
      <c r="C109" s="12" t="n">
        <v>46165</v>
      </c>
      <c r="D109" s="1" t="s">
        <v>19</v>
      </c>
      <c r="E109" s="13" t="n">
        <v>87840</v>
      </c>
      <c r="F109" s="11" t="s">
        <v>54</v>
      </c>
      <c r="G109" s="15" t="s">
        <v>41</v>
      </c>
      <c r="H109" s="15" t="s">
        <v>33</v>
      </c>
      <c r="I109" s="16" t="s">
        <v>42</v>
      </c>
      <c r="J109" s="11" t="s">
        <v>133</v>
      </c>
      <c r="K109" s="1" t="str">
        <f aca="false">IFERROR(VLOOKUP(F109,Kategori_Mapping!$A:$B,2,FALSE()),"")</f>
        <v>Essential Living</v>
      </c>
    </row>
    <row r="110" customFormat="false" ht="12" hidden="false" customHeight="true" outlineLevel="0" collapsed="false">
      <c r="B110" s="11" t="n">
        <v>100</v>
      </c>
      <c r="C110" s="12" t="n">
        <v>46166</v>
      </c>
      <c r="D110" s="1" t="s">
        <v>19</v>
      </c>
      <c r="E110" s="13" t="n">
        <v>101500</v>
      </c>
      <c r="F110" s="11" t="s">
        <v>134</v>
      </c>
      <c r="G110" s="15" t="s">
        <v>21</v>
      </c>
      <c r="H110" s="15" t="s">
        <v>6</v>
      </c>
      <c r="I110" s="16" t="s">
        <v>22</v>
      </c>
      <c r="J110" s="11" t="s">
        <v>135</v>
      </c>
      <c r="K110" s="1" t="str">
        <f aca="false">IFERROR(VLOOKUP(F110,Kategori_Mapping!$A:$B,2,FALSE()),"")</f>
        <v>Essential Living</v>
      </c>
    </row>
    <row r="111" customFormat="false" ht="12" hidden="false" customHeight="true" outlineLevel="0" collapsed="false">
      <c r="B111" s="11" t="n">
        <v>101</v>
      </c>
      <c r="C111" s="12" t="n">
        <v>46167</v>
      </c>
      <c r="D111" s="1" t="s">
        <v>19</v>
      </c>
      <c r="E111" s="13" t="n">
        <v>43200</v>
      </c>
      <c r="F111" s="11" t="s">
        <v>28</v>
      </c>
      <c r="G111" s="15" t="s">
        <v>21</v>
      </c>
      <c r="H111" s="15" t="s">
        <v>6</v>
      </c>
      <c r="I111" s="16" t="s">
        <v>22</v>
      </c>
      <c r="J111" s="11" t="s">
        <v>136</v>
      </c>
      <c r="K111" s="1" t="str">
        <f aca="false">IFERROR(VLOOKUP(F111,Kategori_Mapping!$A:$B,2,FALSE()),"")</f>
        <v>Essential Living</v>
      </c>
    </row>
    <row r="112" customFormat="false" ht="12" hidden="false" customHeight="true" outlineLevel="0" collapsed="false">
      <c r="B112" s="11" t="n">
        <v>102</v>
      </c>
      <c r="C112" s="12" t="n">
        <v>46167</v>
      </c>
      <c r="D112" s="1" t="s">
        <v>19</v>
      </c>
      <c r="E112" s="13" t="n">
        <v>26000</v>
      </c>
      <c r="F112" s="11" t="s">
        <v>54</v>
      </c>
      <c r="G112" s="15" t="s">
        <v>41</v>
      </c>
      <c r="H112" s="15" t="s">
        <v>33</v>
      </c>
      <c r="I112" s="16" t="s">
        <v>42</v>
      </c>
      <c r="J112" s="11" t="s">
        <v>137</v>
      </c>
      <c r="K112" s="1" t="str">
        <f aca="false">IFERROR(VLOOKUP(F112,Kategori_Mapping!$A:$B,2,FALSE()),"")</f>
        <v>Essential Living</v>
      </c>
    </row>
    <row r="113" customFormat="false" ht="12" hidden="false" customHeight="true" outlineLevel="0" collapsed="false">
      <c r="B113" s="11" t="n">
        <v>103</v>
      </c>
      <c r="C113" s="12" t="n">
        <v>46167</v>
      </c>
      <c r="D113" s="1" t="s">
        <v>19</v>
      </c>
      <c r="E113" s="13" t="n">
        <v>135000</v>
      </c>
      <c r="F113" s="11" t="s">
        <v>54</v>
      </c>
      <c r="G113" s="15" t="s">
        <v>21</v>
      </c>
      <c r="H113" s="15" t="s">
        <v>33</v>
      </c>
      <c r="I113" s="16" t="s">
        <v>55</v>
      </c>
      <c r="J113" s="11" t="s">
        <v>138</v>
      </c>
      <c r="K113" s="1" t="str">
        <f aca="false">IFERROR(VLOOKUP(F113,Kategori_Mapping!$A:$B,2,FALSE()),"")</f>
        <v>Essential Living</v>
      </c>
    </row>
    <row r="114" customFormat="false" ht="12" hidden="false" customHeight="true" outlineLevel="0" collapsed="false">
      <c r="B114" s="11" t="n">
        <v>104</v>
      </c>
      <c r="C114" s="12" t="n">
        <v>46168</v>
      </c>
      <c r="D114" s="1" t="s">
        <v>19</v>
      </c>
      <c r="E114" s="13" t="n">
        <v>1849485</v>
      </c>
      <c r="F114" s="11" t="s">
        <v>139</v>
      </c>
      <c r="G114" s="15" t="s">
        <v>21</v>
      </c>
      <c r="H114" s="15" t="s">
        <v>6</v>
      </c>
      <c r="I114" s="16" t="s">
        <v>22</v>
      </c>
      <c r="J114" s="11" t="s">
        <v>140</v>
      </c>
      <c r="K114" s="1" t="str">
        <f aca="false">IFERROR(VLOOKUP(F114,Kategori_Mapping!$A:$B,2,FALSE()),"")</f>
        <v>Essential Living</v>
      </c>
    </row>
    <row r="115" customFormat="false" ht="12" hidden="false" customHeight="true" outlineLevel="0" collapsed="false">
      <c r="B115" s="11" t="n">
        <v>105</v>
      </c>
      <c r="C115" s="12" t="n">
        <v>46168</v>
      </c>
      <c r="D115" s="1" t="s">
        <v>19</v>
      </c>
      <c r="E115" s="13" t="n">
        <v>23200</v>
      </c>
      <c r="F115" s="11" t="s">
        <v>28</v>
      </c>
      <c r="G115" s="15" t="s">
        <v>21</v>
      </c>
      <c r="H115" s="15" t="s">
        <v>6</v>
      </c>
      <c r="I115" s="16" t="s">
        <v>22</v>
      </c>
      <c r="J115" s="11" t="s">
        <v>99</v>
      </c>
      <c r="K115" s="1" t="str">
        <f aca="false">IFERROR(VLOOKUP(F115,Kategori_Mapping!$A:$B,2,FALSE()),"")</f>
        <v>Essential Living</v>
      </c>
    </row>
    <row r="116" customFormat="false" ht="12" hidden="false" customHeight="true" outlineLevel="0" collapsed="false">
      <c r="B116" s="11" t="n">
        <v>106</v>
      </c>
      <c r="C116" s="12" t="n">
        <v>46168</v>
      </c>
      <c r="D116" s="1" t="s">
        <v>19</v>
      </c>
      <c r="E116" s="13" t="n">
        <v>5000</v>
      </c>
      <c r="F116" s="11" t="s">
        <v>54</v>
      </c>
      <c r="G116" s="15" t="s">
        <v>21</v>
      </c>
      <c r="H116" s="15" t="s">
        <v>6</v>
      </c>
      <c r="I116" s="16" t="s">
        <v>22</v>
      </c>
      <c r="J116" s="11" t="s">
        <v>141</v>
      </c>
      <c r="K116" s="1" t="str">
        <f aca="false">IFERROR(VLOOKUP(F116,Kategori_Mapping!$A:$B,2,FALSE()),"")</f>
        <v>Essential Living</v>
      </c>
    </row>
    <row r="117" customFormat="false" ht="12" hidden="false" customHeight="true" outlineLevel="0" collapsed="false">
      <c r="B117" s="11" t="n">
        <v>107</v>
      </c>
      <c r="C117" s="12" t="n">
        <v>46168</v>
      </c>
      <c r="D117" s="1" t="s">
        <v>19</v>
      </c>
      <c r="E117" s="13" t="n">
        <v>231285</v>
      </c>
      <c r="F117" s="11" t="s">
        <v>26</v>
      </c>
      <c r="G117" s="15" t="s">
        <v>41</v>
      </c>
      <c r="H117" s="15" t="s">
        <v>6</v>
      </c>
      <c r="I117" s="16" t="s">
        <v>55</v>
      </c>
      <c r="J117" s="11" t="s">
        <v>142</v>
      </c>
      <c r="K117" s="1" t="str">
        <f aca="false">IFERROR(VLOOKUP(F117,Kategori_Mapping!$A:$B,2,FALSE()),"")</f>
        <v>Flexible + Social</v>
      </c>
    </row>
    <row r="118" customFormat="false" ht="12" hidden="false" customHeight="true" outlineLevel="0" collapsed="false">
      <c r="B118" s="11" t="n">
        <v>108</v>
      </c>
      <c r="C118" s="12" t="n">
        <v>46168</v>
      </c>
      <c r="D118" s="1" t="s">
        <v>19</v>
      </c>
      <c r="E118" s="13" t="n">
        <v>105000</v>
      </c>
      <c r="F118" s="11" t="s">
        <v>26</v>
      </c>
      <c r="G118" s="15" t="s">
        <v>41</v>
      </c>
      <c r="H118" s="15" t="s">
        <v>6</v>
      </c>
      <c r="I118" s="16" t="s">
        <v>55</v>
      </c>
      <c r="J118" s="11" t="s">
        <v>143</v>
      </c>
      <c r="K118" s="1" t="str">
        <f aca="false">IFERROR(VLOOKUP(F118,Kategori_Mapping!$A:$B,2,FALSE()),"")</f>
        <v>Flexible + Social</v>
      </c>
    </row>
    <row r="119" customFormat="false" ht="12" hidden="false" customHeight="true" outlineLevel="0" collapsed="false">
      <c r="B119" s="11" t="n">
        <v>109</v>
      </c>
      <c r="C119" s="12" t="n">
        <v>46168</v>
      </c>
      <c r="D119" s="1" t="s">
        <v>19</v>
      </c>
      <c r="E119" s="13" t="n">
        <v>175000</v>
      </c>
      <c r="F119" s="11" t="s">
        <v>26</v>
      </c>
      <c r="G119" s="15" t="s">
        <v>41</v>
      </c>
      <c r="H119" s="15" t="s">
        <v>6</v>
      </c>
      <c r="I119" s="16" t="s">
        <v>55</v>
      </c>
      <c r="J119" s="11" t="s">
        <v>144</v>
      </c>
      <c r="K119" s="1" t="str">
        <f aca="false">IFERROR(VLOOKUP(F119,Kategori_Mapping!$A:$B,2,FALSE()),"")</f>
        <v>Flexible + Social</v>
      </c>
    </row>
    <row r="120" customFormat="false" ht="12" hidden="false" customHeight="true" outlineLevel="0" collapsed="false">
      <c r="B120" s="11" t="n">
        <v>110</v>
      </c>
      <c r="C120" s="12" t="n">
        <v>46168</v>
      </c>
      <c r="D120" s="1" t="s">
        <v>19</v>
      </c>
      <c r="E120" s="13" t="n">
        <v>140000</v>
      </c>
      <c r="F120" s="11" t="s">
        <v>26</v>
      </c>
      <c r="G120" s="15" t="s">
        <v>41</v>
      </c>
      <c r="H120" s="15" t="s">
        <v>6</v>
      </c>
      <c r="I120" s="16" t="s">
        <v>55</v>
      </c>
      <c r="J120" s="11" t="s">
        <v>145</v>
      </c>
      <c r="K120" s="1" t="str">
        <f aca="false">IFERROR(VLOOKUP(F120,Kategori_Mapping!$A:$B,2,FALSE()),"")</f>
        <v>Flexible + Social</v>
      </c>
    </row>
    <row r="121" customFormat="false" ht="12" hidden="false" customHeight="true" outlineLevel="0" collapsed="false">
      <c r="B121" s="11" t="n">
        <v>111</v>
      </c>
      <c r="C121" s="12" t="n">
        <v>46168</v>
      </c>
      <c r="D121" s="1" t="s">
        <v>19</v>
      </c>
      <c r="E121" s="13" t="n">
        <v>290000</v>
      </c>
      <c r="F121" s="11" t="s">
        <v>54</v>
      </c>
      <c r="G121" s="15" t="s">
        <v>21</v>
      </c>
      <c r="H121" s="15" t="s">
        <v>33</v>
      </c>
      <c r="I121" s="16" t="s">
        <v>55</v>
      </c>
      <c r="J121" s="11" t="s">
        <v>146</v>
      </c>
      <c r="K121" s="1" t="str">
        <f aca="false">IFERROR(VLOOKUP(F121,Kategori_Mapping!$A:$B,2,FALSE()),"")</f>
        <v>Essential Living</v>
      </c>
    </row>
    <row r="122" customFormat="false" ht="12" hidden="false" customHeight="true" outlineLevel="0" collapsed="false">
      <c r="B122" s="11" t="n">
        <v>112</v>
      </c>
      <c r="C122" s="12" t="n">
        <v>46168</v>
      </c>
      <c r="D122" s="1" t="s">
        <v>19</v>
      </c>
      <c r="E122" s="13" t="n">
        <v>71000</v>
      </c>
      <c r="F122" s="11" t="s">
        <v>28</v>
      </c>
      <c r="G122" s="15" t="s">
        <v>21</v>
      </c>
      <c r="H122" s="15" t="s">
        <v>6</v>
      </c>
      <c r="I122" s="16" t="s">
        <v>22</v>
      </c>
      <c r="J122" s="11" t="s">
        <v>147</v>
      </c>
      <c r="K122" s="1" t="str">
        <f aca="false">IFERROR(VLOOKUP(F122,Kategori_Mapping!$A:$B,2,FALSE()),"")</f>
        <v>Essential Living</v>
      </c>
    </row>
    <row r="123" customFormat="false" ht="12" hidden="false" customHeight="true" outlineLevel="0" collapsed="false">
      <c r="B123" s="11" t="n">
        <v>113</v>
      </c>
      <c r="C123" s="12" t="n">
        <v>46168</v>
      </c>
      <c r="D123" s="1" t="s">
        <v>19</v>
      </c>
      <c r="E123" s="13" t="n">
        <v>250000</v>
      </c>
      <c r="F123" s="11" t="s">
        <v>139</v>
      </c>
      <c r="G123" s="15" t="s">
        <v>21</v>
      </c>
      <c r="H123" s="15" t="s">
        <v>6</v>
      </c>
      <c r="I123" s="16" t="s">
        <v>22</v>
      </c>
      <c r="J123" s="11" t="s">
        <v>148</v>
      </c>
      <c r="K123" s="1" t="str">
        <f aca="false">IFERROR(VLOOKUP(F123,Kategori_Mapping!$A:$B,2,FALSE()),"")</f>
        <v>Essential Living</v>
      </c>
    </row>
    <row r="124" customFormat="false" ht="12" hidden="false" customHeight="true" outlineLevel="0" collapsed="false">
      <c r="B124" s="11" t="n">
        <v>114</v>
      </c>
      <c r="C124" s="12" t="n">
        <v>46168</v>
      </c>
      <c r="D124" s="1" t="s">
        <v>19</v>
      </c>
      <c r="E124" s="13" t="n">
        <v>350000</v>
      </c>
      <c r="F124" s="11" t="s">
        <v>26</v>
      </c>
      <c r="G124" s="15" t="s">
        <v>21</v>
      </c>
      <c r="H124" s="15" t="s">
        <v>6</v>
      </c>
      <c r="I124" s="16" t="s">
        <v>22</v>
      </c>
      <c r="J124" s="11" t="s">
        <v>113</v>
      </c>
      <c r="K124" s="1" t="str">
        <f aca="false">IFERROR(VLOOKUP(F124,Kategori_Mapping!$A:$B,2,FALSE()),"")</f>
        <v>Flexible + Social</v>
      </c>
    </row>
    <row r="125" customFormat="false" ht="12" hidden="false" customHeight="true" outlineLevel="0" collapsed="false">
      <c r="B125" s="11" t="n">
        <v>115</v>
      </c>
      <c r="C125" s="12" t="n">
        <v>46169</v>
      </c>
      <c r="D125" s="1" t="s">
        <v>19</v>
      </c>
      <c r="E125" s="13" t="n">
        <v>50000</v>
      </c>
      <c r="F125" s="11" t="s">
        <v>28</v>
      </c>
      <c r="G125" s="15" t="s">
        <v>21</v>
      </c>
      <c r="H125" s="15" t="s">
        <v>6</v>
      </c>
      <c r="I125" s="16" t="s">
        <v>55</v>
      </c>
      <c r="J125" s="11" t="s">
        <v>149</v>
      </c>
      <c r="K125" s="1" t="str">
        <f aca="false">IFERROR(VLOOKUP(F125,Kategori_Mapping!$A:$B,2,FALSE()),"")</f>
        <v>Essential Living</v>
      </c>
    </row>
    <row r="126" customFormat="false" ht="12" hidden="false" customHeight="true" outlineLevel="0" collapsed="false">
      <c r="B126" s="11" t="n">
        <v>116</v>
      </c>
      <c r="C126" s="12" t="n">
        <v>46169</v>
      </c>
      <c r="D126" s="1" t="s">
        <v>19</v>
      </c>
      <c r="E126" s="13" t="n">
        <v>213000</v>
      </c>
      <c r="F126" s="11" t="s">
        <v>26</v>
      </c>
      <c r="G126" s="15" t="s">
        <v>21</v>
      </c>
      <c r="H126" s="15" t="s">
        <v>6</v>
      </c>
      <c r="I126" s="16" t="s">
        <v>55</v>
      </c>
      <c r="J126" s="11" t="s">
        <v>150</v>
      </c>
      <c r="K126" s="1" t="str">
        <f aca="false">IFERROR(VLOOKUP(F126,Kategori_Mapping!$A:$B,2,FALSE()),"")</f>
        <v>Flexible + Social</v>
      </c>
    </row>
    <row r="127" customFormat="false" ht="12" hidden="false" customHeight="true" outlineLevel="0" collapsed="false">
      <c r="B127" s="11" t="n">
        <v>117</v>
      </c>
      <c r="C127" s="12" t="n">
        <v>46169</v>
      </c>
      <c r="D127" s="1" t="s">
        <v>19</v>
      </c>
      <c r="E127" s="13" t="n">
        <v>200000</v>
      </c>
      <c r="F127" s="11" t="s">
        <v>151</v>
      </c>
      <c r="G127" s="15" t="s">
        <v>41</v>
      </c>
      <c r="H127" s="15" t="s">
        <v>33</v>
      </c>
      <c r="I127" s="16" t="s">
        <v>22</v>
      </c>
      <c r="J127" s="11" t="s">
        <v>152</v>
      </c>
      <c r="K127" s="1" t="str">
        <f aca="false">IFERROR(VLOOKUP(F127,Kategori_Mapping!$A:$B,2,FALSE()),"")</f>
        <v>Flexible + Social</v>
      </c>
    </row>
    <row r="128" customFormat="false" ht="12" hidden="false" customHeight="true" outlineLevel="0" collapsed="false">
      <c r="B128" s="11" t="n">
        <v>118</v>
      </c>
      <c r="C128" s="12" t="n">
        <v>46170</v>
      </c>
      <c r="D128" s="1" t="s">
        <v>19</v>
      </c>
      <c r="E128" s="13" t="n">
        <v>327200</v>
      </c>
      <c r="F128" s="11" t="s">
        <v>26</v>
      </c>
      <c r="G128" s="15" t="s">
        <v>21</v>
      </c>
      <c r="H128" s="15" t="s">
        <v>6</v>
      </c>
      <c r="I128" s="16" t="s">
        <v>55</v>
      </c>
      <c r="J128" s="11" t="s">
        <v>153</v>
      </c>
      <c r="K128" s="1" t="str">
        <f aca="false">IFERROR(VLOOKUP(F128,Kategori_Mapping!$A:$B,2,FALSE()),"")</f>
        <v>Flexible + Social</v>
      </c>
    </row>
    <row r="129" customFormat="false" ht="12" hidden="false" customHeight="true" outlineLevel="0" collapsed="false">
      <c r="B129" s="11" t="n">
        <v>119</v>
      </c>
      <c r="C129" s="12" t="n">
        <v>46170</v>
      </c>
      <c r="D129" s="1" t="s">
        <v>19</v>
      </c>
      <c r="E129" s="13" t="n">
        <v>87000</v>
      </c>
      <c r="F129" s="11" t="s">
        <v>54</v>
      </c>
      <c r="G129" s="15" t="s">
        <v>41</v>
      </c>
      <c r="H129" s="15" t="s">
        <v>33</v>
      </c>
      <c r="I129" s="16" t="s">
        <v>55</v>
      </c>
      <c r="J129" s="11" t="s">
        <v>154</v>
      </c>
      <c r="K129" s="1" t="str">
        <f aca="false">IFERROR(VLOOKUP(F129,Kategori_Mapping!$A:$B,2,FALSE()),"")</f>
        <v>Essential Living</v>
      </c>
    </row>
    <row r="130" customFormat="false" ht="12" hidden="false" customHeight="true" outlineLevel="0" collapsed="false">
      <c r="B130" s="11" t="n">
        <v>120</v>
      </c>
      <c r="C130" s="12" t="n">
        <v>46170</v>
      </c>
      <c r="D130" s="1" t="s">
        <v>19</v>
      </c>
      <c r="E130" s="13" t="n">
        <v>35000</v>
      </c>
      <c r="F130" s="11" t="s">
        <v>101</v>
      </c>
      <c r="G130" s="15" t="s">
        <v>21</v>
      </c>
      <c r="H130" s="15" t="s">
        <v>6</v>
      </c>
      <c r="I130" s="16" t="s">
        <v>55</v>
      </c>
      <c r="J130" s="11" t="s">
        <v>155</v>
      </c>
      <c r="K130" s="1" t="str">
        <f aca="false">IFERROR(VLOOKUP(F130,Kategori_Mapping!$A:$B,2,FALSE()),"")</f>
        <v>Flexible + Social</v>
      </c>
    </row>
    <row r="131" customFormat="false" ht="12" hidden="false" customHeight="true" outlineLevel="0" collapsed="false">
      <c r="B131" s="11" t="n">
        <v>121</v>
      </c>
      <c r="C131" s="12" t="n">
        <v>46170</v>
      </c>
      <c r="D131" s="1" t="s">
        <v>19</v>
      </c>
      <c r="E131" s="13" t="n">
        <v>271500</v>
      </c>
      <c r="F131" s="11" t="s">
        <v>26</v>
      </c>
      <c r="G131" s="15" t="s">
        <v>21</v>
      </c>
      <c r="H131" s="15" t="s">
        <v>6</v>
      </c>
      <c r="I131" s="16" t="s">
        <v>55</v>
      </c>
      <c r="J131" s="11" t="s">
        <v>156</v>
      </c>
      <c r="K131" s="1" t="str">
        <f aca="false">IFERROR(VLOOKUP(F131,Kategori_Mapping!$A:$B,2,FALSE()),"")</f>
        <v>Flexible + Social</v>
      </c>
    </row>
    <row r="132" customFormat="false" ht="12" hidden="false" customHeight="true" outlineLevel="0" collapsed="false">
      <c r="B132" s="11" t="n">
        <v>122</v>
      </c>
      <c r="C132" s="12" t="n">
        <v>46171</v>
      </c>
      <c r="D132" s="1" t="s">
        <v>19</v>
      </c>
      <c r="E132" s="13" t="n">
        <v>200000</v>
      </c>
      <c r="F132" s="11" t="s">
        <v>157</v>
      </c>
      <c r="G132" s="15" t="s">
        <v>41</v>
      </c>
      <c r="H132" s="15" t="s">
        <v>6</v>
      </c>
      <c r="I132" s="16" t="s">
        <v>55</v>
      </c>
      <c r="J132" s="11" t="s">
        <v>158</v>
      </c>
      <c r="K132" s="1" t="str">
        <f aca="false">IFERROR(VLOOKUP(F132,Kategori_Mapping!$A:$B,2,FALSE()),"")</f>
        <v>Flexible + Social</v>
      </c>
    </row>
    <row r="133" customFormat="false" ht="12" hidden="false" customHeight="true" outlineLevel="0" collapsed="false">
      <c r="B133" s="11" t="n">
        <v>123</v>
      </c>
      <c r="C133" s="12" t="n">
        <v>46172</v>
      </c>
      <c r="D133" s="1" t="s">
        <v>19</v>
      </c>
      <c r="E133" s="13" t="n">
        <v>200000</v>
      </c>
      <c r="F133" s="11" t="s">
        <v>151</v>
      </c>
      <c r="G133" s="15" t="s">
        <v>41</v>
      </c>
      <c r="H133" s="15" t="s">
        <v>6</v>
      </c>
      <c r="I133" s="16" t="s">
        <v>22</v>
      </c>
      <c r="J133" s="11" t="s">
        <v>152</v>
      </c>
      <c r="K133" s="1" t="str">
        <f aca="false">IFERROR(VLOOKUP(F133,Kategori_Mapping!$A:$B,2,FALSE()),"")</f>
        <v>Flexible + Social</v>
      </c>
    </row>
    <row r="134" customFormat="false" ht="12" hidden="false" customHeight="true" outlineLevel="0" collapsed="false">
      <c r="B134" s="11" t="n">
        <v>124</v>
      </c>
      <c r="C134" s="12" t="n">
        <v>46172</v>
      </c>
      <c r="D134" s="1" t="s">
        <v>19</v>
      </c>
      <c r="E134" s="13" t="n">
        <v>350000</v>
      </c>
      <c r="F134" s="11" t="s">
        <v>151</v>
      </c>
      <c r="G134" s="15" t="s">
        <v>41</v>
      </c>
      <c r="H134" s="15" t="s">
        <v>6</v>
      </c>
      <c r="I134" s="16" t="s">
        <v>55</v>
      </c>
      <c r="J134" s="11" t="s">
        <v>159</v>
      </c>
      <c r="K134" s="1" t="str">
        <f aca="false">IFERROR(VLOOKUP(F134,Kategori_Mapping!$A:$B,2,FALSE()),"")</f>
        <v>Flexible + Social</v>
      </c>
    </row>
    <row r="135" customFormat="false" ht="12" hidden="false" customHeight="true" outlineLevel="0" collapsed="false">
      <c r="B135" s="11" t="n">
        <v>125</v>
      </c>
      <c r="C135" s="12" t="n">
        <v>46172</v>
      </c>
      <c r="D135" s="1" t="s">
        <v>19</v>
      </c>
      <c r="E135" s="13" t="n">
        <v>300000</v>
      </c>
      <c r="F135" s="11" t="s">
        <v>151</v>
      </c>
      <c r="G135" s="15" t="s">
        <v>41</v>
      </c>
      <c r="H135" s="15" t="s">
        <v>33</v>
      </c>
      <c r="I135" s="16" t="s">
        <v>22</v>
      </c>
      <c r="J135" s="11" t="s">
        <v>160</v>
      </c>
      <c r="K135" s="1" t="str">
        <f aca="false">IFERROR(VLOOKUP(F135,Kategori_Mapping!$A:$B,2,FALSE()),"")</f>
        <v>Flexible + Social</v>
      </c>
    </row>
    <row r="136" customFormat="false" ht="12" hidden="false" customHeight="true" outlineLevel="0" collapsed="false">
      <c r="B136" s="11" t="n">
        <v>126</v>
      </c>
      <c r="C136" s="12" t="n">
        <v>46172</v>
      </c>
      <c r="D136" s="1" t="s">
        <v>19</v>
      </c>
      <c r="E136" s="13" t="n">
        <v>120000</v>
      </c>
      <c r="F136" s="11" t="s">
        <v>54</v>
      </c>
      <c r="G136" s="15" t="s">
        <v>41</v>
      </c>
      <c r="H136" s="15" t="s">
        <v>33</v>
      </c>
      <c r="I136" s="16" t="s">
        <v>55</v>
      </c>
      <c r="J136" s="11" t="s">
        <v>161</v>
      </c>
      <c r="K136" s="1" t="str">
        <f aca="false">IFERROR(VLOOKUP(F136,Kategori_Mapping!$A:$B,2,FALSE()),"")</f>
        <v>Essential Living</v>
      </c>
    </row>
    <row r="137" customFormat="false" ht="12" hidden="false" customHeight="true" outlineLevel="0" collapsed="false">
      <c r="B137" s="11" t="n">
        <v>127</v>
      </c>
      <c r="C137" s="12" t="n">
        <v>46172</v>
      </c>
      <c r="D137" s="1" t="s">
        <v>19</v>
      </c>
      <c r="E137" s="13" t="n">
        <v>45000</v>
      </c>
      <c r="F137" s="11" t="s">
        <v>54</v>
      </c>
      <c r="G137" s="15" t="s">
        <v>41</v>
      </c>
      <c r="H137" s="15" t="s">
        <v>33</v>
      </c>
      <c r="I137" s="16" t="s">
        <v>55</v>
      </c>
      <c r="J137" s="11" t="s">
        <v>162</v>
      </c>
      <c r="K137" s="1" t="str">
        <f aca="false">IFERROR(VLOOKUP(F137,Kategori_Mapping!$A:$B,2,FALSE()),"")</f>
        <v>Essential Living</v>
      </c>
    </row>
    <row r="138" customFormat="false" ht="12" hidden="false" customHeight="true" outlineLevel="0" collapsed="false">
      <c r="B138" s="11" t="n">
        <v>128</v>
      </c>
      <c r="C138" s="12" t="n">
        <v>46173</v>
      </c>
      <c r="D138" s="1" t="s">
        <v>19</v>
      </c>
      <c r="E138" s="13" t="n">
        <v>20000</v>
      </c>
      <c r="F138" s="11" t="s">
        <v>20</v>
      </c>
      <c r="G138" s="15" t="s">
        <v>21</v>
      </c>
      <c r="H138" s="15" t="s">
        <v>6</v>
      </c>
      <c r="I138" s="16" t="s">
        <v>22</v>
      </c>
      <c r="J138" s="11" t="s">
        <v>163</v>
      </c>
      <c r="K138" s="1" t="str">
        <f aca="false">IFERROR(VLOOKUP(F138,Kategori_Mapping!$A:$B,2,FALSE()),"")</f>
        <v>Essential Living</v>
      </c>
    </row>
    <row r="139" customFormat="false" ht="12" hidden="false" customHeight="true" outlineLevel="0" collapsed="false">
      <c r="B139" s="11" t="n">
        <v>129</v>
      </c>
      <c r="C139" s="12" t="n">
        <v>46173</v>
      </c>
      <c r="D139" s="1" t="s">
        <v>19</v>
      </c>
      <c r="E139" s="13" t="n">
        <v>89100</v>
      </c>
      <c r="F139" s="11" t="s">
        <v>26</v>
      </c>
      <c r="G139" s="15" t="s">
        <v>41</v>
      </c>
      <c r="H139" s="15" t="s">
        <v>33</v>
      </c>
      <c r="I139" s="16" t="s">
        <v>55</v>
      </c>
      <c r="J139" s="11" t="s">
        <v>164</v>
      </c>
      <c r="K139" s="1" t="str">
        <f aca="false">IFERROR(VLOOKUP(F139,Kategori_Mapping!$A:$B,2,FALSE()),"")</f>
        <v>Flexible + Social</v>
      </c>
    </row>
    <row r="140" customFormat="false" ht="12" hidden="false" customHeight="true" outlineLevel="0" collapsed="false">
      <c r="B140" s="11" t="n">
        <v>130</v>
      </c>
      <c r="C140" s="12" t="n">
        <v>46173</v>
      </c>
      <c r="D140" s="1" t="s">
        <v>19</v>
      </c>
      <c r="E140" s="13" t="n">
        <v>100000</v>
      </c>
      <c r="F140" s="11" t="s">
        <v>113</v>
      </c>
      <c r="G140" s="15" t="s">
        <v>21</v>
      </c>
      <c r="H140" s="15" t="s">
        <v>6</v>
      </c>
      <c r="I140" s="16" t="s">
        <v>22</v>
      </c>
      <c r="J140" s="11" t="s">
        <v>165</v>
      </c>
      <c r="K140" s="1" t="str">
        <f aca="false">IFERROR(VLOOKUP(F140,Kategori_Mapping!$A:$B,2,FALSE()),"")</f>
        <v>Essential Living</v>
      </c>
    </row>
    <row r="141" customFormat="false" ht="12" hidden="false" customHeight="true" outlineLevel="0" collapsed="false">
      <c r="B141" s="11" t="n">
        <v>131</v>
      </c>
      <c r="C141" s="12" t="n">
        <v>46173</v>
      </c>
      <c r="D141" s="1" t="s">
        <v>19</v>
      </c>
      <c r="E141" s="13" t="n">
        <v>21000</v>
      </c>
      <c r="F141" s="11" t="s">
        <v>20</v>
      </c>
      <c r="G141" s="15" t="s">
        <v>21</v>
      </c>
      <c r="H141" s="15" t="s">
        <v>6</v>
      </c>
      <c r="I141" s="16" t="s">
        <v>22</v>
      </c>
      <c r="J141" s="11" t="s">
        <v>163</v>
      </c>
      <c r="K141" s="1" t="str">
        <f aca="false">IFERROR(VLOOKUP(F141,Kategori_Mapping!$A:$B,2,FALSE()),"")</f>
        <v>Essential Living</v>
      </c>
    </row>
    <row r="144" customFormat="false" ht="12" hidden="false" customHeight="true" outlineLevel="0" collapsed="false">
      <c r="B144" s="11"/>
    </row>
    <row r="145" customFormat="false" ht="12" hidden="false" customHeight="true" outlineLevel="0" collapsed="false">
      <c r="B145" s="11"/>
    </row>
  </sheetData>
  <mergeCells count="6">
    <mergeCell ref="B1:D2"/>
    <mergeCell ref="F1:J1"/>
    <mergeCell ref="F2:J2"/>
    <mergeCell ref="B3:D3"/>
    <mergeCell ref="F3:J3"/>
    <mergeCell ref="B5:C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10" min="3" style="1" width="14"/>
  </cols>
  <sheetData>
    <row r="1" customFormat="false" ht="19.5" hidden="false" customHeight="true" outlineLevel="0" collapsed="false">
      <c r="B1" s="17" t="s">
        <v>166</v>
      </c>
    </row>
    <row r="2" customFormat="false" ht="15" hidden="false" customHeight="true" outlineLevel="0" collapsed="false">
      <c r="B2" s="18" t="s">
        <v>167</v>
      </c>
    </row>
    <row r="4" customFormat="false" ht="19.5" hidden="false" customHeight="true" outlineLevel="0" collapsed="false">
      <c r="B4" s="19" t="s">
        <v>168</v>
      </c>
      <c r="C4" s="20"/>
      <c r="D4" s="20"/>
      <c r="E4" s="20"/>
      <c r="F4" s="20"/>
      <c r="G4" s="20"/>
    </row>
    <row r="5" customFormat="false" ht="15" hidden="false" customHeight="true" outlineLevel="0" collapsed="false">
      <c r="B5" s="10" t="s">
        <v>169</v>
      </c>
      <c r="C5" s="21" t="n">
        <v>46113</v>
      </c>
    </row>
    <row r="6" customFormat="false" ht="15" hidden="false" customHeight="true" outlineLevel="0" collapsed="false">
      <c r="B6" s="10" t="s">
        <v>170</v>
      </c>
      <c r="C6" s="22" t="n">
        <f aca="false">IF(C5="","",EDATE(C5,6))</f>
        <v>46296</v>
      </c>
    </row>
    <row r="7" customFormat="false" ht="15" hidden="false" customHeight="true" outlineLevel="0" collapsed="false">
      <c r="B7" s="10" t="s">
        <v>171</v>
      </c>
      <c r="C7" s="23" t="s">
        <v>172</v>
      </c>
      <c r="D7" s="23"/>
      <c r="E7" s="23"/>
      <c r="F7" s="23"/>
    </row>
    <row r="9" customFormat="false" ht="19.5" hidden="false" customHeight="true" outlineLevel="0" collapsed="false">
      <c r="B9" s="19" t="s">
        <v>173</v>
      </c>
      <c r="C9" s="20"/>
      <c r="D9" s="20"/>
      <c r="E9" s="20"/>
      <c r="F9" s="20"/>
      <c r="G9" s="20"/>
      <c r="H9" s="20"/>
      <c r="I9" s="20"/>
    </row>
    <row r="10" customFormat="false" ht="15" hidden="false" customHeight="true" outlineLevel="0" collapsed="false">
      <c r="B10" s="24" t="s">
        <v>174</v>
      </c>
      <c r="C10" s="24"/>
      <c r="D10" s="24"/>
      <c r="E10" s="24"/>
      <c r="F10" s="24"/>
      <c r="G10" s="24"/>
      <c r="H10" s="24"/>
    </row>
    <row r="12" customFormat="false" ht="15" hidden="false" customHeight="true" outlineLevel="0" collapsed="false">
      <c r="B12" s="10" t="s">
        <v>6</v>
      </c>
      <c r="C12" s="10" t="s">
        <v>175</v>
      </c>
      <c r="D12" s="10" t="s">
        <v>176</v>
      </c>
    </row>
    <row r="13" customFormat="false" ht="15" hidden="false" customHeight="true" outlineLevel="0" collapsed="false">
      <c r="B13" s="1" t="n">
        <v>1</v>
      </c>
      <c r="C13" s="1" t="s">
        <v>177</v>
      </c>
      <c r="D13" s="25"/>
    </row>
    <row r="14" customFormat="false" ht="15" hidden="false" customHeight="true" outlineLevel="0" collapsed="false">
      <c r="B14" s="1" t="n">
        <v>2</v>
      </c>
      <c r="C14" s="1" t="s">
        <v>178</v>
      </c>
      <c r="D14" s="25"/>
    </row>
    <row r="15" customFormat="false" ht="15" hidden="false" customHeight="true" outlineLevel="0" collapsed="false">
      <c r="B15" s="1" t="n">
        <v>3</v>
      </c>
      <c r="C15" s="1" t="s">
        <v>179</v>
      </c>
      <c r="D15" s="25"/>
    </row>
    <row r="16" customFormat="false" ht="15" hidden="false" customHeight="true" outlineLevel="0" collapsed="false">
      <c r="B16" s="1" t="n">
        <v>4</v>
      </c>
      <c r="C16" s="1" t="s">
        <v>180</v>
      </c>
      <c r="D16" s="25"/>
    </row>
    <row r="17" customFormat="false" ht="15" hidden="false" customHeight="true" outlineLevel="0" collapsed="false">
      <c r="B17" s="1" t="n">
        <v>5</v>
      </c>
      <c r="C17" s="1" t="s">
        <v>181</v>
      </c>
      <c r="D17" s="25"/>
    </row>
    <row r="18" customFormat="false" ht="15" hidden="false" customHeight="true" outlineLevel="0" collapsed="false">
      <c r="B18" s="1" t="n">
        <v>6</v>
      </c>
      <c r="C18" s="1" t="s">
        <v>182</v>
      </c>
      <c r="D18" s="25"/>
    </row>
    <row r="19" customFormat="false" ht="15" hidden="false" customHeight="true" outlineLevel="0" collapsed="false">
      <c r="B19" s="1" t="n">
        <v>7</v>
      </c>
      <c r="C19" s="1" t="s">
        <v>183</v>
      </c>
      <c r="D19" s="25"/>
    </row>
    <row r="20" customFormat="false" ht="15" hidden="false" customHeight="true" outlineLevel="0" collapsed="false">
      <c r="B20" s="1" t="n">
        <v>8</v>
      </c>
      <c r="C20" s="1" t="s">
        <v>184</v>
      </c>
      <c r="D20" s="25"/>
    </row>
    <row r="21" customFormat="false" ht="15" hidden="false" customHeight="true" outlineLevel="0" collapsed="false">
      <c r="B21" s="1" t="n">
        <v>9</v>
      </c>
      <c r="C21" s="1" t="s">
        <v>185</v>
      </c>
      <c r="D21" s="25"/>
    </row>
    <row r="22" customFormat="false" ht="15" hidden="false" customHeight="true" outlineLevel="0" collapsed="false">
      <c r="B22" s="1" t="n">
        <v>10</v>
      </c>
      <c r="C22" s="1" t="s">
        <v>186</v>
      </c>
      <c r="D22" s="25"/>
    </row>
    <row r="23" customFormat="false" ht="15" hidden="false" customHeight="true" outlineLevel="0" collapsed="false">
      <c r="B23" s="1" t="n">
        <v>11</v>
      </c>
      <c r="C23" s="1" t="s">
        <v>187</v>
      </c>
      <c r="D23" s="25"/>
    </row>
    <row r="24" customFormat="false" ht="15" hidden="false" customHeight="true" outlineLevel="0" collapsed="false">
      <c r="B24" s="1" t="n">
        <v>12</v>
      </c>
      <c r="C24" s="1" t="s">
        <v>188</v>
      </c>
      <c r="D24" s="25"/>
    </row>
    <row r="25" customFormat="false" ht="15" hidden="false" customHeight="true" outlineLevel="0" collapsed="false">
      <c r="B25" s="1" t="n">
        <v>13</v>
      </c>
      <c r="C25" s="1" t="s">
        <v>189</v>
      </c>
      <c r="D25" s="25"/>
    </row>
    <row r="26" customFormat="false" ht="15" hidden="false" customHeight="true" outlineLevel="0" collapsed="false">
      <c r="B26" s="1" t="n">
        <v>14</v>
      </c>
      <c r="C26" s="1" t="s">
        <v>190</v>
      </c>
      <c r="D26" s="25"/>
    </row>
    <row r="27" customFormat="false" ht="15" hidden="false" customHeight="true" outlineLevel="0" collapsed="false">
      <c r="B27" s="1" t="n">
        <v>15</v>
      </c>
      <c r="C27" s="1" t="s">
        <v>191</v>
      </c>
      <c r="D27" s="25"/>
    </row>
    <row r="28" customFormat="false" ht="15" hidden="false" customHeight="true" outlineLevel="0" collapsed="false">
      <c r="C28" s="10" t="s">
        <v>192</v>
      </c>
      <c r="D28" s="10" t="n">
        <f aca="false">SUM(D13:D27)</f>
        <v>0</v>
      </c>
      <c r="F28" s="18" t="s">
        <v>193</v>
      </c>
      <c r="G28" s="26" t="n">
        <v>30</v>
      </c>
      <c r="H28" s="18" t="s">
        <v>194</v>
      </c>
    </row>
    <row r="29" customFormat="false" ht="15" hidden="false" customHeight="true" outlineLevel="0" collapsed="false">
      <c r="C29" s="10" t="s">
        <v>195</v>
      </c>
      <c r="D29" s="27" t="str">
        <f aca="false">IF(D28&gt;0,IF(D28&lt;=12,"Surviving",IF(D28&lt;=22,"Growing",IF(D28&lt;=33,"Steady","Comfortable"))),IF(G28&gt;0,IF(G28&lt;=12,"Surviving",IF(G28&lt;=22,"Growing",IF(G28&lt;=33,"Steady","Comfortable"))),""))</f>
        <v>Steady</v>
      </c>
    </row>
    <row r="30" customFormat="false" ht="15" hidden="false" customHeight="true" outlineLevel="0" collapsed="false">
      <c r="C30" s="10" t="s">
        <v>196</v>
      </c>
      <c r="D30" s="28" t="s">
        <v>197</v>
      </c>
      <c r="E30" s="24" t="s">
        <v>198</v>
      </c>
      <c r="F30" s="24"/>
      <c r="G30" s="24"/>
      <c r="H30" s="24"/>
    </row>
    <row r="32" customFormat="false" ht="19.5" hidden="false" customHeight="true" outlineLevel="0" collapsed="false">
      <c r="B32" s="19" t="s">
        <v>199</v>
      </c>
      <c r="C32" s="20"/>
      <c r="D32" s="20"/>
      <c r="E32" s="20"/>
      <c r="F32" s="20"/>
      <c r="G32" s="20"/>
      <c r="H32" s="20"/>
      <c r="I32" s="20"/>
    </row>
    <row r="33" customFormat="false" ht="15" hidden="false" customHeight="true" outlineLevel="0" collapsed="false">
      <c r="B33" s="10" t="s">
        <v>200</v>
      </c>
      <c r="D33" s="29" t="n">
        <v>20000000</v>
      </c>
    </row>
    <row r="34" customFormat="false" ht="15" hidden="false" customHeight="true" outlineLevel="0" collapsed="false">
      <c r="B34" s="10" t="s">
        <v>201</v>
      </c>
      <c r="D34" s="25" t="s">
        <v>202</v>
      </c>
    </row>
    <row r="35" customFormat="false" ht="15" hidden="false" customHeight="true" outlineLevel="0" collapsed="false">
      <c r="B35" s="10" t="s">
        <v>203</v>
      </c>
      <c r="D35" s="29" t="n">
        <v>0</v>
      </c>
      <c r="E35" s="18" t="s">
        <v>204</v>
      </c>
    </row>
    <row r="37" customFormat="false" ht="15" hidden="false" customHeight="true" outlineLevel="0" collapsed="false">
      <c r="B37" s="10" t="s">
        <v>205</v>
      </c>
    </row>
    <row r="38" customFormat="false" ht="15" hidden="false" customHeight="true" outlineLevel="0" collapsed="false">
      <c r="C38" s="1" t="s">
        <v>206</v>
      </c>
      <c r="D38" s="29" t="n">
        <v>100000000</v>
      </c>
    </row>
    <row r="39" customFormat="false" ht="15" hidden="false" customHeight="true" outlineLevel="0" collapsed="false">
      <c r="C39" s="1" t="s">
        <v>207</v>
      </c>
      <c r="D39" s="29" t="n">
        <v>10000000</v>
      </c>
    </row>
    <row r="40" customFormat="false" ht="15" hidden="false" customHeight="true" outlineLevel="0" collapsed="false">
      <c r="C40" s="1" t="s">
        <v>208</v>
      </c>
      <c r="D40" s="29" t="n">
        <v>1000000</v>
      </c>
    </row>
    <row r="41" customFormat="false" ht="15" hidden="false" customHeight="true" outlineLevel="0" collapsed="false">
      <c r="C41" s="10" t="s">
        <v>209</v>
      </c>
      <c r="D41" s="30" t="n">
        <f aca="false">SUM(D38:D40)</f>
        <v>111000000</v>
      </c>
    </row>
    <row r="42" customFormat="false" ht="15" hidden="false" customHeight="true" outlineLevel="0" collapsed="false">
      <c r="B42" s="10" t="s">
        <v>210</v>
      </c>
      <c r="D42" s="31" t="n">
        <f aca="false">D40</f>
        <v>1000000</v>
      </c>
      <c r="E42" s="18" t="s">
        <v>211</v>
      </c>
    </row>
    <row r="43" customFormat="false" ht="15" hidden="false" customHeight="true" outlineLevel="0" collapsed="false">
      <c r="B43" s="10" t="s">
        <v>212</v>
      </c>
      <c r="D43" s="29" t="n">
        <v>0</v>
      </c>
      <c r="E43" s="18" t="s">
        <v>213</v>
      </c>
    </row>
    <row r="45" customFormat="false" ht="19.5" hidden="false" customHeight="true" outlineLevel="0" collapsed="false">
      <c r="B45" s="19" t="s">
        <v>214</v>
      </c>
      <c r="C45" s="20"/>
      <c r="D45" s="20"/>
      <c r="E45" s="20"/>
      <c r="F45" s="20"/>
      <c r="G45" s="20"/>
      <c r="H45" s="20"/>
      <c r="I45" s="20"/>
    </row>
    <row r="46" customFormat="false" ht="15" hidden="false" customHeight="true" outlineLevel="0" collapsed="false">
      <c r="B46" s="10" t="s">
        <v>215</v>
      </c>
      <c r="C46" s="10" t="s">
        <v>216</v>
      </c>
      <c r="D46" s="10" t="s">
        <v>9</v>
      </c>
      <c r="E46" s="10" t="s">
        <v>217</v>
      </c>
      <c r="F46" s="10" t="s">
        <v>218</v>
      </c>
    </row>
    <row r="47" customFormat="false" ht="15" hidden="false" customHeight="true" outlineLevel="0" collapsed="false">
      <c r="B47" s="1" t="s">
        <v>219</v>
      </c>
      <c r="C47" s="1" t="s">
        <v>220</v>
      </c>
      <c r="D47" s="29" t="n">
        <v>150000</v>
      </c>
      <c r="E47" s="1" t="n">
        <v>12</v>
      </c>
      <c r="F47" s="31" t="n">
        <f aca="false">D47*E47</f>
        <v>1800000</v>
      </c>
    </row>
    <row r="48" customFormat="false" ht="15" hidden="false" customHeight="true" outlineLevel="0" collapsed="false">
      <c r="B48" s="1" t="s">
        <v>221</v>
      </c>
      <c r="C48" s="1" t="s">
        <v>222</v>
      </c>
      <c r="D48" s="29" t="n">
        <v>2000000</v>
      </c>
      <c r="E48" s="1" t="n">
        <v>1</v>
      </c>
      <c r="F48" s="31" t="n">
        <f aca="false">D48*E48</f>
        <v>2000000</v>
      </c>
    </row>
    <row r="49" customFormat="false" ht="15" hidden="false" customHeight="true" outlineLevel="0" collapsed="false">
      <c r="B49" s="1" t="s">
        <v>223</v>
      </c>
      <c r="C49" s="1" t="s">
        <v>220</v>
      </c>
      <c r="D49" s="29" t="n">
        <v>408000</v>
      </c>
      <c r="E49" s="1" t="n">
        <v>12</v>
      </c>
      <c r="F49" s="31" t="n">
        <f aca="false">D49*E49</f>
        <v>4896000</v>
      </c>
    </row>
    <row r="50" customFormat="false" ht="15" hidden="false" customHeight="true" outlineLevel="0" collapsed="false">
      <c r="B50" s="1" t="s">
        <v>224</v>
      </c>
      <c r="C50" s="1" t="s">
        <v>222</v>
      </c>
      <c r="D50" s="29" t="n">
        <v>6665000</v>
      </c>
      <c r="E50" s="1" t="n">
        <v>1</v>
      </c>
      <c r="F50" s="31" t="n">
        <f aca="false">D50*E50</f>
        <v>6665000</v>
      </c>
    </row>
    <row r="51" customFormat="false" ht="15" hidden="false" customHeight="true" outlineLevel="0" collapsed="false">
      <c r="B51" s="10" t="s">
        <v>225</v>
      </c>
      <c r="F51" s="30" t="n">
        <f aca="false">SUM(F47:F50)</f>
        <v>15361000</v>
      </c>
    </row>
    <row r="52" customFormat="false" ht="15" hidden="false" customHeight="true" outlineLevel="0" collapsed="false">
      <c r="B52" s="10" t="s">
        <v>226</v>
      </c>
      <c r="F52" s="31" t="n">
        <f aca="false">F51/12</f>
        <v>1280083.33333333</v>
      </c>
    </row>
    <row r="54" customFormat="false" ht="19.5" hidden="false" customHeight="true" outlineLevel="0" collapsed="false">
      <c r="B54" s="19" t="s">
        <v>227</v>
      </c>
      <c r="I54" s="20"/>
    </row>
    <row r="55" customFormat="false" ht="15" hidden="false" customHeight="true" outlineLevel="0" collapsed="false">
      <c r="B55" s="24" t="s">
        <v>228</v>
      </c>
      <c r="C55" s="24"/>
      <c r="D55" s="24"/>
      <c r="E55" s="24"/>
      <c r="F55" s="24"/>
      <c r="G55" s="24"/>
      <c r="H55" s="24"/>
    </row>
    <row r="57" customFormat="false" ht="15" hidden="false" customHeight="true" outlineLevel="0" collapsed="false">
      <c r="B57" s="32" t="s">
        <v>229</v>
      </c>
      <c r="C57" s="33"/>
      <c r="D57" s="33"/>
      <c r="E57" s="33"/>
    </row>
    <row r="58" customFormat="false" ht="15" hidden="false" customHeight="true" outlineLevel="0" collapsed="false">
      <c r="B58" s="1" t="s">
        <v>230</v>
      </c>
      <c r="D58" s="25"/>
    </row>
    <row r="59" customFormat="false" ht="15" hidden="false" customHeight="true" outlineLevel="0" collapsed="false">
      <c r="B59" s="1" t="s">
        <v>231</v>
      </c>
      <c r="D59" s="25"/>
    </row>
    <row r="60" customFormat="false" ht="15" hidden="false" customHeight="true" outlineLevel="0" collapsed="false">
      <c r="B60" s="1" t="s">
        <v>232</v>
      </c>
      <c r="D60" s="25"/>
    </row>
    <row r="61" customFormat="false" ht="15" hidden="false" customHeight="true" outlineLevel="0" collapsed="false">
      <c r="B61" s="1" t="s">
        <v>233</v>
      </c>
      <c r="D61" s="25"/>
    </row>
    <row r="62" customFormat="false" ht="15" hidden="false" customHeight="true" outlineLevel="0" collapsed="false">
      <c r="B62" s="1" t="s">
        <v>234</v>
      </c>
      <c r="D62" s="25"/>
    </row>
    <row r="63" customFormat="false" ht="15" hidden="false" customHeight="true" outlineLevel="0" collapsed="false">
      <c r="B63" s="1" t="s">
        <v>235</v>
      </c>
      <c r="D63" s="25"/>
    </row>
    <row r="64" customFormat="false" ht="15" hidden="false" customHeight="true" outlineLevel="0" collapsed="false">
      <c r="B64" s="1" t="s">
        <v>236</v>
      </c>
      <c r="D64" s="25"/>
    </row>
    <row r="65" customFormat="false" ht="15" hidden="false" customHeight="true" outlineLevel="0" collapsed="false">
      <c r="B65" s="1" t="s">
        <v>237</v>
      </c>
      <c r="D65" s="25"/>
    </row>
    <row r="66" customFormat="false" ht="15" hidden="false" customHeight="true" outlineLevel="0" collapsed="false">
      <c r="B66" s="10" t="s">
        <v>238</v>
      </c>
      <c r="D66" s="10" t="n">
        <f aca="false">SUM(D58:D65)</f>
        <v>0</v>
      </c>
    </row>
    <row r="67" customFormat="false" ht="15" hidden="false" customHeight="true" outlineLevel="0" collapsed="false">
      <c r="B67" s="10" t="s">
        <v>239</v>
      </c>
      <c r="D67" s="25" t="n">
        <v>32</v>
      </c>
      <c r="E67" s="18" t="s">
        <v>240</v>
      </c>
    </row>
    <row r="68" customFormat="false" ht="15" hidden="false" customHeight="true" outlineLevel="0" collapsed="false">
      <c r="B68" s="10" t="s">
        <v>241</v>
      </c>
      <c r="D68" s="10" t="n">
        <f aca="false">IF(D66&gt;0,D66,D67)</f>
        <v>32</v>
      </c>
    </row>
    <row r="69" customFormat="false" ht="15" hidden="false" customHeight="true" outlineLevel="0" collapsed="false">
      <c r="B69" s="10" t="s">
        <v>242</v>
      </c>
      <c r="D69" s="1" t="str">
        <f aca="false">IF(D68="","",IF(D68&lt;=16,"Regulasi Stabil",IF(D68&lt;=24,"Mild Dysregulation",IF(D68&lt;=32,"Moderate Dysregulation","Severe Dysregulation"))))</f>
        <v>Moderate Dysregulation</v>
      </c>
    </row>
    <row r="71" customFormat="false" ht="15" hidden="false" customHeight="true" outlineLevel="0" collapsed="false">
      <c r="B71" s="34" t="s">
        <v>243</v>
      </c>
      <c r="C71" s="35"/>
      <c r="D71" s="35"/>
      <c r="E71" s="35"/>
    </row>
    <row r="72" customFormat="false" ht="15" hidden="false" customHeight="true" outlineLevel="0" collapsed="false">
      <c r="B72" s="1" t="s">
        <v>244</v>
      </c>
      <c r="D72" s="25"/>
    </row>
    <row r="73" customFormat="false" ht="15" hidden="false" customHeight="true" outlineLevel="0" collapsed="false">
      <c r="B73" s="1" t="s">
        <v>245</v>
      </c>
      <c r="D73" s="25"/>
    </row>
    <row r="74" customFormat="false" ht="15" hidden="false" customHeight="true" outlineLevel="0" collapsed="false">
      <c r="B74" s="1" t="s">
        <v>246</v>
      </c>
      <c r="D74" s="25"/>
    </row>
    <row r="75" customFormat="false" ht="15" hidden="false" customHeight="true" outlineLevel="0" collapsed="false">
      <c r="B75" s="1" t="s">
        <v>247</v>
      </c>
      <c r="D75" s="25"/>
    </row>
    <row r="76" customFormat="false" ht="15" hidden="false" customHeight="true" outlineLevel="0" collapsed="false">
      <c r="B76" s="1" t="s">
        <v>248</v>
      </c>
      <c r="D76" s="25"/>
    </row>
    <row r="77" customFormat="false" ht="15" hidden="false" customHeight="true" outlineLevel="0" collapsed="false">
      <c r="B77" s="1" t="s">
        <v>249</v>
      </c>
      <c r="D77" s="25"/>
    </row>
    <row r="78" customFormat="false" ht="15" hidden="false" customHeight="true" outlineLevel="0" collapsed="false">
      <c r="B78" s="1" t="s">
        <v>250</v>
      </c>
      <c r="D78" s="25"/>
    </row>
    <row r="79" customFormat="false" ht="15" hidden="false" customHeight="true" outlineLevel="0" collapsed="false">
      <c r="B79" s="1" t="s">
        <v>251</v>
      </c>
      <c r="D79" s="25"/>
    </row>
    <row r="80" customFormat="false" ht="15" hidden="false" customHeight="true" outlineLevel="0" collapsed="false">
      <c r="B80" s="10" t="s">
        <v>252</v>
      </c>
      <c r="D80" s="10" t="n">
        <f aca="false">SUM(D72:D79)</f>
        <v>0</v>
      </c>
    </row>
    <row r="81" customFormat="false" ht="15" hidden="false" customHeight="true" outlineLevel="0" collapsed="false">
      <c r="B81" s="10" t="s">
        <v>253</v>
      </c>
      <c r="D81" s="25" t="n">
        <v>16</v>
      </c>
      <c r="E81" s="18" t="s">
        <v>254</v>
      </c>
    </row>
    <row r="82" customFormat="false" ht="15" hidden="false" customHeight="true" outlineLevel="0" collapsed="false">
      <c r="B82" s="10" t="s">
        <v>255</v>
      </c>
      <c r="D82" s="10" t="n">
        <f aca="false">IF(D80&gt;0,D80,D81)</f>
        <v>16</v>
      </c>
    </row>
    <row r="83" customFormat="false" ht="15" hidden="false" customHeight="true" outlineLevel="0" collapsed="false">
      <c r="B83" s="10" t="s">
        <v>256</v>
      </c>
      <c r="D83" s="1" t="str">
        <f aca="false">IF(D82="","",IF(D82&lt;=16,"Regulasi Stabil",IF(D82&lt;=24,"Mild Dysregulation",IF(D82&lt;=32,"Moderate Dysregulation","Severe Dysregulation"))))</f>
        <v>Regulasi Stabil</v>
      </c>
    </row>
    <row r="85" customFormat="false" ht="15" hidden="false" customHeight="true" outlineLevel="0" collapsed="false">
      <c r="B85" s="36" t="s">
        <v>257</v>
      </c>
      <c r="C85" s="37"/>
      <c r="D85" s="37"/>
      <c r="E85" s="37"/>
    </row>
    <row r="86" customFormat="false" ht="15" hidden="false" customHeight="true" outlineLevel="0" collapsed="false">
      <c r="B86" s="1" t="s">
        <v>258</v>
      </c>
      <c r="D86" s="25"/>
    </row>
    <row r="87" customFormat="false" ht="15" hidden="false" customHeight="true" outlineLevel="0" collapsed="false">
      <c r="B87" s="1" t="s">
        <v>259</v>
      </c>
      <c r="D87" s="25"/>
    </row>
    <row r="88" customFormat="false" ht="15" hidden="false" customHeight="true" outlineLevel="0" collapsed="false">
      <c r="B88" s="1" t="s">
        <v>260</v>
      </c>
      <c r="D88" s="25"/>
    </row>
    <row r="89" customFormat="false" ht="15" hidden="false" customHeight="true" outlineLevel="0" collapsed="false">
      <c r="B89" s="1" t="s">
        <v>261</v>
      </c>
      <c r="D89" s="25"/>
    </row>
    <row r="90" customFormat="false" ht="15" hidden="false" customHeight="true" outlineLevel="0" collapsed="false">
      <c r="B90" s="1" t="s">
        <v>262</v>
      </c>
      <c r="D90" s="25"/>
    </row>
    <row r="91" customFormat="false" ht="15" hidden="false" customHeight="true" outlineLevel="0" collapsed="false">
      <c r="B91" s="1" t="s">
        <v>263</v>
      </c>
      <c r="D91" s="25"/>
    </row>
    <row r="92" customFormat="false" ht="15" hidden="false" customHeight="true" outlineLevel="0" collapsed="false">
      <c r="B92" s="1" t="s">
        <v>264</v>
      </c>
      <c r="D92" s="25"/>
    </row>
    <row r="93" customFormat="false" ht="15" hidden="false" customHeight="true" outlineLevel="0" collapsed="false">
      <c r="B93" s="1" t="s">
        <v>265</v>
      </c>
      <c r="D93" s="25"/>
    </row>
    <row r="94" customFormat="false" ht="15" hidden="false" customHeight="true" outlineLevel="0" collapsed="false">
      <c r="B94" s="10" t="s">
        <v>266</v>
      </c>
      <c r="D94" s="10" t="n">
        <f aca="false">SUM(D86:D93)</f>
        <v>0</v>
      </c>
    </row>
    <row r="95" customFormat="false" ht="15" hidden="false" customHeight="true" outlineLevel="0" collapsed="false">
      <c r="B95" s="10" t="s">
        <v>267</v>
      </c>
      <c r="D95" s="25" t="n">
        <v>40</v>
      </c>
      <c r="E95" s="18" t="s">
        <v>268</v>
      </c>
    </row>
    <row r="96" customFormat="false" ht="15" hidden="false" customHeight="true" outlineLevel="0" collapsed="false">
      <c r="B96" s="10" t="s">
        <v>269</v>
      </c>
      <c r="D96" s="10" t="n">
        <f aca="false">IF(D94&gt;0,D94,D95)</f>
        <v>40</v>
      </c>
    </row>
    <row r="97" customFormat="false" ht="15" hidden="false" customHeight="true" outlineLevel="0" collapsed="false">
      <c r="B97" s="10" t="s">
        <v>270</v>
      </c>
      <c r="D97" s="1" t="str">
        <f aca="false">IF(D96="","",IF(D96&lt;=16,"Regulasi Stabil",IF(D96&lt;=24,"Mild Dysregulation",IF(D96&lt;=32,"Moderate Dysregulation","Severe Dysregulation"))))</f>
        <v>Severe Dysregulation</v>
      </c>
    </row>
    <row r="99" customFormat="false" ht="15" hidden="false" customHeight="true" outlineLevel="0" collapsed="false">
      <c r="B99" s="38" t="s">
        <v>271</v>
      </c>
      <c r="C99" s="39"/>
      <c r="D99" s="39"/>
      <c r="E99" s="39"/>
    </row>
    <row r="100" customFormat="false" ht="15" hidden="false" customHeight="true" outlineLevel="0" collapsed="false">
      <c r="B100" s="1" t="s">
        <v>272</v>
      </c>
      <c r="D100" s="25"/>
    </row>
    <row r="101" customFormat="false" ht="15" hidden="false" customHeight="true" outlineLevel="0" collapsed="false">
      <c r="B101" s="1" t="s">
        <v>273</v>
      </c>
      <c r="D101" s="25"/>
    </row>
    <row r="102" customFormat="false" ht="15" hidden="false" customHeight="true" outlineLevel="0" collapsed="false">
      <c r="B102" s="1" t="s">
        <v>274</v>
      </c>
      <c r="D102" s="25"/>
    </row>
    <row r="103" customFormat="false" ht="15" hidden="false" customHeight="true" outlineLevel="0" collapsed="false">
      <c r="B103" s="1" t="s">
        <v>275</v>
      </c>
      <c r="D103" s="25"/>
    </row>
    <row r="104" customFormat="false" ht="15" hidden="false" customHeight="true" outlineLevel="0" collapsed="false">
      <c r="B104" s="1" t="s">
        <v>276</v>
      </c>
      <c r="D104" s="25"/>
    </row>
    <row r="105" customFormat="false" ht="15" hidden="false" customHeight="true" outlineLevel="0" collapsed="false">
      <c r="B105" s="1" t="s">
        <v>277</v>
      </c>
      <c r="D105" s="25"/>
    </row>
    <row r="106" customFormat="false" ht="15" hidden="false" customHeight="true" outlineLevel="0" collapsed="false">
      <c r="B106" s="1" t="s">
        <v>278</v>
      </c>
      <c r="D106" s="25"/>
    </row>
    <row r="107" customFormat="false" ht="15" hidden="false" customHeight="true" outlineLevel="0" collapsed="false">
      <c r="B107" s="1" t="s">
        <v>279</v>
      </c>
      <c r="D107" s="25"/>
    </row>
    <row r="108" customFormat="false" ht="15" hidden="false" customHeight="true" outlineLevel="0" collapsed="false">
      <c r="B108" s="10" t="s">
        <v>280</v>
      </c>
      <c r="D108" s="10" t="n">
        <f aca="false">SUM(D100:D107)</f>
        <v>0</v>
      </c>
    </row>
    <row r="109" customFormat="false" ht="15" hidden="false" customHeight="true" outlineLevel="0" collapsed="false">
      <c r="B109" s="10" t="s">
        <v>281</v>
      </c>
      <c r="D109" s="25" t="n">
        <v>24</v>
      </c>
      <c r="E109" s="18" t="s">
        <v>282</v>
      </c>
    </row>
    <row r="110" customFormat="false" ht="15" hidden="false" customHeight="true" outlineLevel="0" collapsed="false">
      <c r="B110" s="10" t="s">
        <v>283</v>
      </c>
      <c r="D110" s="10" t="n">
        <f aca="false">IF(D108&gt;0,D108,D109)</f>
        <v>24</v>
      </c>
    </row>
    <row r="111" customFormat="false" ht="15" hidden="false" customHeight="true" outlineLevel="0" collapsed="false">
      <c r="B111" s="10" t="s">
        <v>284</v>
      </c>
      <c r="D111" s="1" t="str">
        <f aca="false">IF(D110="","",IF(D110&lt;=16,"Regulasi Stabil",IF(D110&lt;=24,"Mild Dysregulation",IF(D110&lt;=32,"Moderate Dysregulation","Severe Dysregulation"))))</f>
        <v>Mild Dysregulation</v>
      </c>
    </row>
    <row r="113" customFormat="false" ht="15" hidden="false" customHeight="true" outlineLevel="0" collapsed="false">
      <c r="B113" s="19" t="s">
        <v>285</v>
      </c>
      <c r="C113" s="20"/>
      <c r="D113" s="20"/>
      <c r="E113" s="20"/>
      <c r="F113" s="20"/>
      <c r="G113" s="20"/>
    </row>
    <row r="114" customFormat="false" ht="15" hidden="false" customHeight="true" outlineLevel="0" collapsed="false">
      <c r="B114" s="10" t="s">
        <v>286</v>
      </c>
      <c r="C114" s="10" t="s">
        <v>287</v>
      </c>
      <c r="D114" s="10" t="s">
        <v>288</v>
      </c>
      <c r="E114" s="10" t="s">
        <v>289</v>
      </c>
      <c r="F114" s="40" t="s">
        <v>290</v>
      </c>
    </row>
    <row r="115" customFormat="false" ht="15" hidden="false" customHeight="true" outlineLevel="0" collapsed="false">
      <c r="B115" s="1" t="s">
        <v>291</v>
      </c>
      <c r="C115" s="1" t="n">
        <f aca="false">D68</f>
        <v>32</v>
      </c>
      <c r="D115" s="1" t="str">
        <f aca="false">D69</f>
        <v>Moderate Dysregulation</v>
      </c>
      <c r="E115" s="1" t="str">
        <f aca="false">IF(D68&gt;0,"Yes","No")</f>
        <v>Yes</v>
      </c>
      <c r="F115" s="1" t="n">
        <f aca="false">C115+ROW()*0.00001</f>
        <v>32.00115</v>
      </c>
    </row>
    <row r="116" customFormat="false" ht="15" hidden="false" customHeight="true" outlineLevel="0" collapsed="false">
      <c r="B116" s="1" t="s">
        <v>292</v>
      </c>
      <c r="C116" s="1" t="n">
        <f aca="false">D82</f>
        <v>16</v>
      </c>
      <c r="D116" s="1" t="str">
        <f aca="false">D83</f>
        <v>Regulasi Stabil</v>
      </c>
      <c r="E116" s="1" t="str">
        <f aca="false">IF(D82&gt;0,"Yes","No")</f>
        <v>Yes</v>
      </c>
      <c r="F116" s="1" t="n">
        <f aca="false">C116+ROW()*0.00001</f>
        <v>16.00116</v>
      </c>
    </row>
    <row r="117" customFormat="false" ht="15" hidden="false" customHeight="true" outlineLevel="0" collapsed="false">
      <c r="B117" s="1" t="s">
        <v>293</v>
      </c>
      <c r="C117" s="1" t="n">
        <f aca="false">D96</f>
        <v>40</v>
      </c>
      <c r="D117" s="1" t="str">
        <f aca="false">D97</f>
        <v>Severe Dysregulation</v>
      </c>
      <c r="E117" s="1" t="str">
        <f aca="false">IF(D96&gt;0,"Yes","No")</f>
        <v>Yes</v>
      </c>
      <c r="F117" s="1" t="n">
        <f aca="false">C117+ROW()*0.00001</f>
        <v>40.00117</v>
      </c>
    </row>
    <row r="118" customFormat="false" ht="15" hidden="false" customHeight="true" outlineLevel="0" collapsed="false">
      <c r="B118" s="1" t="s">
        <v>294</v>
      </c>
      <c r="C118" s="1" t="n">
        <f aca="false">D110</f>
        <v>24</v>
      </c>
      <c r="D118" s="1" t="str">
        <f aca="false">D111</f>
        <v>Mild Dysregulation</v>
      </c>
      <c r="E118" s="1" t="str">
        <f aca="false">IF(D110&gt;0,"Yes","No")</f>
        <v>Yes</v>
      </c>
      <c r="F118" s="1" t="n">
        <f aca="false">C118+ROW()*0.00001</f>
        <v>24.00118</v>
      </c>
    </row>
    <row r="119" customFormat="false" ht="15" hidden="false" customHeight="true" outlineLevel="0" collapsed="false">
      <c r="B119" s="10" t="s">
        <v>295</v>
      </c>
      <c r="D119" s="41" t="str">
        <f aca="false">INDEX(B115:B118,MATCH(MAX(F115:F118),F115:F118,0))</f>
        <v>SSD</v>
      </c>
    </row>
    <row r="120" customFormat="false" ht="15" hidden="false" customHeight="true" outlineLevel="0" collapsed="false">
      <c r="B120" s="10" t="s">
        <v>296</v>
      </c>
      <c r="D120" s="42" t="str">
        <f aca="false">INDEX($B$115:$B$118,MATCH(LARGE($F$115:$F$118,1),$F$115:$F$118,0))&amp;" ("&amp;INDEX($C$115:$C$118,MATCH(LARGE($F$115:$F$118,1),$F$115:$F$118,0))&amp;")"&amp;" &gt; "&amp;INDEX($B$115:$B$118,MATCH(LARGE($F$115:$F$118,2),$F$115:$F$118,0))&amp;" ("&amp;INDEX($C$115:$C$118,MATCH(LARGE($F$115:$F$118,2),$F$115:$F$118,0))&amp;")"&amp;" &gt; "&amp;INDEX($B$115:$B$118,MATCH(LARGE($F$115:$F$118,3),$F$115:$F$118,0))&amp;" ("&amp;INDEX($C$115:$C$118,MATCH(LARGE($F$115:$F$118,3),$F$115:$F$118,0))&amp;")"&amp;" &gt; "&amp;INDEX($B$115:$B$118,MATCH(LARGE($F$115:$F$118,4),$F$115:$F$118,0))&amp;" ("&amp;INDEX($C$115:$C$118,MATCH(LARGE($F$115:$F$118,4),$F$115:$F$118,0))&amp;")"</f>
        <v>SSD (40) &gt; CHD (32) &gt; ESD (24) &gt; RVD (16)</v>
      </c>
      <c r="E120" s="42"/>
      <c r="F120" s="42"/>
      <c r="G120" s="42"/>
      <c r="H120" s="42"/>
    </row>
    <row r="121" customFormat="false" ht="15" hidden="false" customHeight="true" outlineLevel="0" collapsed="false">
      <c r="E121" s="24" t="s">
        <v>297</v>
      </c>
      <c r="F121" s="24"/>
      <c r="G121" s="24"/>
      <c r="H121" s="24"/>
    </row>
  </sheetData>
  <mergeCells count="6">
    <mergeCell ref="C7:F7"/>
    <mergeCell ref="B10:H10"/>
    <mergeCell ref="E30:H30"/>
    <mergeCell ref="B55:H55"/>
    <mergeCell ref="D120:H120"/>
    <mergeCell ref="E121:H1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14" min="3" style="1" width="16"/>
    <col collapsed="false" customWidth="true" hidden="true" outlineLevel="0" max="15" min="15" style="1" width="13"/>
  </cols>
  <sheetData>
    <row r="1" customFormat="false" ht="19.5" hidden="false" customHeight="true" outlineLevel="0" collapsed="false">
      <c r="B1" s="17" t="s">
        <v>298</v>
      </c>
      <c r="F1" s="10" t="s">
        <v>299</v>
      </c>
      <c r="G1" s="43" t="n">
        <v>3</v>
      </c>
      <c r="M1" s="18" t="s">
        <v>300</v>
      </c>
      <c r="O1" s="18" t="s">
        <v>301</v>
      </c>
    </row>
    <row r="2" customFormat="false" ht="12" hidden="false" customHeight="true" outlineLevel="0" collapsed="false">
      <c r="B2" s="18" t="s">
        <v>302</v>
      </c>
      <c r="M2" s="1" t="s">
        <v>20</v>
      </c>
      <c r="N2" s="1" t="n">
        <f aca="false">SUMIFS(Input!$E:$E,Input!$D:$D,"Pengeluaran",Input!$F:$F,M2,Input!$C:$C,"&gt;="&amp;$E$3,Input!$C:$C,"&lt;="&amp;$C$3)</f>
        <v>59500</v>
      </c>
      <c r="O2" s="1" t="n">
        <f aca="false">N2+ROW()*0.0000001</f>
        <v>59500.0000002</v>
      </c>
    </row>
    <row r="3" customFormat="false" ht="12" hidden="false" customHeight="true" outlineLevel="0" collapsed="false">
      <c r="B3" s="18" t="s">
        <v>303</v>
      </c>
      <c r="C3" s="44" t="n">
        <f aca="false">MAX(Input!C:C)</f>
        <v>46173</v>
      </c>
      <c r="D3" s="18" t="s">
        <v>304</v>
      </c>
      <c r="E3" s="44" t="n">
        <f aca="false">EDATE(DATE(YEAR(C3),MONTH(C3),1),-(G1-1))</f>
        <v>46082</v>
      </c>
      <c r="M3" s="1" t="s">
        <v>24</v>
      </c>
      <c r="N3" s="1" t="n">
        <f aca="false">SUMIFS(Input!$E:$E,Input!$D:$D,"Pengeluaran",Input!$F:$F,M3,Input!$C:$C,"&gt;="&amp;$E$3,Input!$C:$C,"&lt;="&amp;$C$3)</f>
        <v>309314</v>
      </c>
      <c r="O3" s="1" t="n">
        <f aca="false">N3+ROW()*0.0000001</f>
        <v>309314.0000003</v>
      </c>
    </row>
    <row r="4" customFormat="false" ht="12" hidden="false" customHeight="true" outlineLevel="0" collapsed="false">
      <c r="M4" s="1" t="s">
        <v>26</v>
      </c>
      <c r="N4" s="1" t="n">
        <f aca="false">SUMIFS(Input!$E:$E,Input!$D:$D,"Pengeluaran",Input!$F:$F,M4,Input!$C:$C,"&gt;="&amp;$E$3,Input!$C:$C,"&lt;="&amp;$C$3)</f>
        <v>3377085</v>
      </c>
      <c r="O4" s="1" t="n">
        <f aca="false">N4+ROW()*0.0000001</f>
        <v>3377085.0000004</v>
      </c>
    </row>
    <row r="5" customFormat="false" ht="19.5" hidden="false" customHeight="true" outlineLevel="0" collapsed="false">
      <c r="B5" s="45" t="s">
        <v>305</v>
      </c>
      <c r="C5" s="46"/>
      <c r="D5" s="46"/>
      <c r="E5" s="46"/>
      <c r="F5" s="46"/>
      <c r="G5" s="46"/>
      <c r="H5" s="46"/>
      <c r="I5" s="46"/>
      <c r="M5" s="1" t="s">
        <v>28</v>
      </c>
      <c r="N5" s="1" t="n">
        <f aca="false">SUMIFS(Input!$E:$E,Input!$D:$D,"Pengeluaran",Input!$F:$F,M5,Input!$C:$C,"&gt;="&amp;$E$3,Input!$C:$C,"&lt;="&amp;$C$3)</f>
        <v>1220900</v>
      </c>
      <c r="O5" s="1" t="n">
        <f aca="false">N5+ROW()*0.0000001</f>
        <v>1220900.0000005</v>
      </c>
    </row>
    <row r="6" customFormat="false" ht="12" hidden="false" customHeight="true" outlineLevel="0" collapsed="false">
      <c r="B6" s="47" t="s">
        <v>306</v>
      </c>
      <c r="D6" s="47" t="s">
        <v>169</v>
      </c>
      <c r="F6" s="47" t="s">
        <v>307</v>
      </c>
      <c r="H6" s="47" t="s">
        <v>171</v>
      </c>
      <c r="M6" s="1" t="s">
        <v>30</v>
      </c>
      <c r="N6" s="1" t="n">
        <f aca="false">SUMIFS(Input!$E:$E,Input!$D:$D,"Pengeluaran",Input!$F:$F,M6,Input!$C:$C,"&gt;="&amp;$E$3,Input!$C:$C,"&lt;="&amp;$C$3)</f>
        <v>1340989</v>
      </c>
      <c r="O6" s="1" t="n">
        <f aca="false">N6+ROW()*0.0000001</f>
        <v>1340989.0000006</v>
      </c>
    </row>
    <row r="7" customFormat="false" ht="15" hidden="false" customHeight="true" outlineLevel="0" collapsed="false">
      <c r="B7" s="48" t="str">
        <f aca="false">Baseline!D30</f>
        <v>Steady</v>
      </c>
      <c r="D7" s="49" t="n">
        <f aca="false">Baseline!C5</f>
        <v>46113</v>
      </c>
      <c r="F7" s="49" t="n">
        <f aca="false">Baseline!C6</f>
        <v>46296</v>
      </c>
      <c r="H7" s="48" t="n">
        <f aca="false">Baseline!D8</f>
        <v>0</v>
      </c>
      <c r="M7" s="1" t="s">
        <v>39</v>
      </c>
      <c r="N7" s="1" t="n">
        <f aca="false">SUMIFS(Input!$E:$E,Input!$D:$D,"Pengeluaran",Input!$F:$F,M7,Input!$C:$C,"&gt;="&amp;$E$3,Input!$C:$C,"&lt;="&amp;$C$3)</f>
        <v>77000</v>
      </c>
      <c r="O7" s="1" t="n">
        <f aca="false">N7+ROW()*0.0000001</f>
        <v>77000.0000007</v>
      </c>
    </row>
    <row r="8" customFormat="false" ht="12" hidden="false" customHeight="true" outlineLevel="0" collapsed="false">
      <c r="M8" s="1" t="s">
        <v>44</v>
      </c>
      <c r="N8" s="1" t="n">
        <f aca="false">SUMIFS(Input!$E:$E,Input!$D:$D,"Pengeluaran",Input!$F:$F,M8,Input!$C:$C,"&gt;="&amp;$E$3,Input!$C:$C,"&lt;="&amp;$C$3)</f>
        <v>174000</v>
      </c>
      <c r="O8" s="1" t="n">
        <f aca="false">N8+ROW()*0.0000001</f>
        <v>174000.0000008</v>
      </c>
    </row>
    <row r="9" customFormat="false" ht="19.5" hidden="false" customHeight="true" outlineLevel="0" collapsed="false">
      <c r="B9" s="45" t="s">
        <v>308</v>
      </c>
      <c r="C9" s="46"/>
      <c r="D9" s="46"/>
      <c r="E9" s="46"/>
      <c r="F9" s="46"/>
      <c r="G9" s="46"/>
      <c r="H9" s="46"/>
      <c r="I9" s="46"/>
      <c r="M9" s="1" t="s">
        <v>54</v>
      </c>
      <c r="N9" s="1" t="n">
        <f aca="false">SUMIFS(Input!$E:$E,Input!$D:$D,"Pengeluaran",Input!$F:$F,M9,Input!$C:$C,"&gt;="&amp;$E$3,Input!$C:$C,"&lt;="&amp;$C$3)</f>
        <v>1263690</v>
      </c>
      <c r="O9" s="1" t="n">
        <f aca="false">N9+ROW()*0.0000001</f>
        <v>1263690.0000009</v>
      </c>
    </row>
    <row r="10" customFormat="false" ht="12" hidden="false" customHeight="true" outlineLevel="0" collapsed="false">
      <c r="B10" s="47" t="s">
        <v>309</v>
      </c>
      <c r="D10" s="47" t="s">
        <v>310</v>
      </c>
      <c r="F10" s="47" t="s">
        <v>311</v>
      </c>
      <c r="H10" s="47" t="s">
        <v>312</v>
      </c>
      <c r="J10" s="47" t="s">
        <v>313</v>
      </c>
      <c r="M10" s="1" t="s">
        <v>66</v>
      </c>
      <c r="N10" s="1" t="n">
        <f aca="false">SUMIFS(Input!$E:$E,Input!$D:$D,"Pengeluaran",Input!$F:$F,M10,Input!$C:$C,"&gt;="&amp;$E$3,Input!$C:$C,"&lt;="&amp;$C$3)</f>
        <v>558000</v>
      </c>
      <c r="O10" s="1" t="n">
        <f aca="false">N10+ROW()*0.0000001</f>
        <v>558000.000001</v>
      </c>
    </row>
    <row r="11" customFormat="false" ht="19.5" hidden="false" customHeight="true" outlineLevel="0" collapsed="false">
      <c r="B11" s="50" t="n">
        <f aca="false">SUMIFS(Input!$E:$E,Input!$D:$D,"Pemasukan",Input!$C:$C,"&gt;="&amp;$E$3,Input!$C:$C,"&lt;="&amp;$C$3)</f>
        <v>31124475</v>
      </c>
      <c r="D11" s="50" t="n">
        <f aca="false">SUMIFS(Input!$E:$E,Input!$D:$D,"Pengeluaran",Input!$C:$C,"&gt;="&amp;$E$3,Input!$C:$C,"&lt;="&amp;$C$3)</f>
        <v>25295237</v>
      </c>
      <c r="F11" s="50" t="n">
        <f aca="false">B11-D11</f>
        <v>5829238</v>
      </c>
      <c r="H11" s="51" t="n">
        <f aca="false">IF(B11=0,0,F11/B11)</f>
        <v>0.18728791409333</v>
      </c>
      <c r="J11" s="52" t="n">
        <f aca="false">COUNTIFS(Input!$C:$C,"&gt;="&amp;$E$3,Input!$C:$C,"&lt;="&amp;$C$3)</f>
        <v>131</v>
      </c>
      <c r="M11" s="1" t="s">
        <v>73</v>
      </c>
      <c r="N11" s="1" t="n">
        <f aca="false">SUMIFS(Input!$E:$E,Input!$D:$D,"Pengeluaran",Input!$F:$F,M11,Input!$C:$C,"&gt;="&amp;$E$3,Input!$C:$C,"&lt;="&amp;$C$3)</f>
        <v>959145</v>
      </c>
      <c r="O11" s="1" t="n">
        <f aca="false">N11+ROW()*0.0000001</f>
        <v>959145.0000011</v>
      </c>
    </row>
    <row r="12" customFormat="false" ht="12" hidden="false" customHeight="true" outlineLevel="0" collapsed="false">
      <c r="M12" s="1" t="s">
        <v>82</v>
      </c>
      <c r="N12" s="1" t="n">
        <f aca="false">SUMIFS(Input!$E:$E,Input!$D:$D,"Pengeluaran",Input!$F:$F,M12,Input!$C:$C,"&gt;="&amp;$E$3,Input!$C:$C,"&lt;="&amp;$C$3)</f>
        <v>6390000</v>
      </c>
      <c r="O12" s="1" t="n">
        <f aca="false">N12+ROW()*0.0000001</f>
        <v>6390000.0000012</v>
      </c>
    </row>
    <row r="13" customFormat="false" ht="19.5" hidden="false" customHeight="true" outlineLevel="0" collapsed="false">
      <c r="B13" s="45" t="s">
        <v>314</v>
      </c>
      <c r="C13" s="46"/>
      <c r="D13" s="46"/>
      <c r="E13" s="46"/>
      <c r="F13" s="46"/>
      <c r="G13" s="46"/>
      <c r="H13" s="46"/>
      <c r="I13" s="46"/>
      <c r="J13" s="46"/>
      <c r="M13" s="1" t="s">
        <v>101</v>
      </c>
      <c r="N13" s="1" t="n">
        <f aca="false">SUMIFS(Input!$E:$E,Input!$D:$D,"Pengeluaran",Input!$F:$F,M13,Input!$C:$C,"&gt;="&amp;$E$3,Input!$C:$C,"&lt;="&amp;$C$3)</f>
        <v>85000</v>
      </c>
      <c r="O13" s="1" t="n">
        <f aca="false">N13+ROW()*0.0000001</f>
        <v>85000.0000013</v>
      </c>
    </row>
    <row r="14" customFormat="false" ht="13.5" hidden="false" customHeight="true" outlineLevel="0" collapsed="false">
      <c r="B14" s="53" t="s">
        <v>10</v>
      </c>
      <c r="C14" s="53" t="s">
        <v>315</v>
      </c>
      <c r="D14" s="53" t="s">
        <v>316</v>
      </c>
      <c r="E14" s="53" t="s">
        <v>317</v>
      </c>
      <c r="F14" s="53" t="s">
        <v>318</v>
      </c>
      <c r="G14" s="53" t="s">
        <v>319</v>
      </c>
      <c r="H14" s="53" t="s">
        <v>320</v>
      </c>
      <c r="I14" s="53" t="s">
        <v>321</v>
      </c>
      <c r="M14" s="1" t="s">
        <v>114</v>
      </c>
      <c r="N14" s="1" t="n">
        <f aca="false">SUMIFS(Input!$E:$E,Input!$D:$D,"Pengeluaran",Input!$F:$F,M14,Input!$C:$C,"&gt;="&amp;$E$3,Input!$C:$C,"&lt;="&amp;$C$3)</f>
        <v>110000</v>
      </c>
      <c r="O14" s="1" t="n">
        <f aca="false">N14+ROW()*0.0000001</f>
        <v>110000.0000014</v>
      </c>
    </row>
    <row r="15" customFormat="false" ht="12" hidden="false" customHeight="true" outlineLevel="0" collapsed="false">
      <c r="B15" s="54" t="s">
        <v>322</v>
      </c>
      <c r="C15" s="55" t="n">
        <f aca="false">SUMIFS(Input!$E:$E,Input!$D:$D,"Pengeluaran",Input!$K:$K,B15,Input!$C:$C,"&gt;="&amp;$E$3,Input!$C:$C,"&lt;="&amp;$C$3)</f>
        <v>10562704</v>
      </c>
      <c r="D15" s="56" t="n">
        <f aca="false">IF($B$11=0,0,C15/$B$11)</f>
        <v>0.339369708244075</v>
      </c>
      <c r="E15" s="57" t="n">
        <f aca="false">INDEX(Kategori_Mapping!$H:$K,MATCH(Baseline!$D$30,Kategori_Mapping!$G:$G,0),MATCH(B15,Kategori_Mapping!$H$1:$K$1,0))</f>
        <v>0.5</v>
      </c>
      <c r="F15" s="58" t="n">
        <f aca="false">D15-E15</f>
        <v>-0.160630291755925</v>
      </c>
      <c r="G15" s="57" t="n">
        <f aca="false">IF(E15=0,0,D15/E15)</f>
        <v>0.67873941648815</v>
      </c>
      <c r="H15" s="54" t="str">
        <f aca="false">IF(D15&lt;=E15,"Sehat (dalam batas)","Melebihi batas maksimal — lebih "&amp;TEXT(D15-E15,"0.0%"))</f>
        <v>Sehat (dalam batas)</v>
      </c>
      <c r="I15" s="54" t="s">
        <v>323</v>
      </c>
      <c r="M15" s="1" t="s">
        <v>123</v>
      </c>
      <c r="N15" s="1" t="n">
        <f aca="false">SUMIFS(Input!$E:$E,Input!$D:$D,"Pengeluaran",Input!$F:$F,M15,Input!$C:$C,"&gt;="&amp;$E$3,Input!$C:$C,"&lt;="&amp;$C$3)</f>
        <v>2116000</v>
      </c>
      <c r="O15" s="1" t="n">
        <f aca="false">N15+ROW()*0.0000001</f>
        <v>2116000.0000015</v>
      </c>
    </row>
    <row r="16" customFormat="false" ht="12" hidden="false" customHeight="true" outlineLevel="0" collapsed="false">
      <c r="B16" s="54" t="s">
        <v>324</v>
      </c>
      <c r="C16" s="55" t="n">
        <f aca="false">SUMIFS(Input!$E:$E,Input!$D:$D,"Pengeluaran",Input!$K:$K,B16,Input!$C:$C,"&gt;="&amp;$E$3,Input!$C:$C,"&lt;="&amp;$C$3)</f>
        <v>6776314</v>
      </c>
      <c r="D16" s="56" t="n">
        <f aca="false">IF($B$11=0,0,C16/$B$11)</f>
        <v>0.217716571926113</v>
      </c>
      <c r="E16" s="57" t="n">
        <f aca="false">INDEX(Kategori_Mapping!$H:$K,MATCH(Baseline!$D$30,Kategori_Mapping!$G:$G,0),MATCH(B16,Kategori_Mapping!$H$1:$K$1,0))</f>
        <v>0.3</v>
      </c>
      <c r="F16" s="58" t="n">
        <f aca="false">D16-E16</f>
        <v>-0.0822834280738872</v>
      </c>
      <c r="G16" s="57" t="n">
        <f aca="false">IF(E16=0,0,D16/E16)</f>
        <v>0.725721906420376</v>
      </c>
      <c r="H16" s="54" t="str">
        <f aca="false">IF(D16&gt;=E16,"Sehat (memenuhi minimal)","Di bawah minimal — kurang "&amp;TEXT(E16-D16,"0.0%"))</f>
        <v>Di bawah minimal — kurang 8.2%</v>
      </c>
      <c r="I16" s="54" t="s">
        <v>325</v>
      </c>
      <c r="M16" s="1" t="s">
        <v>128</v>
      </c>
      <c r="N16" s="1" t="n">
        <f aca="false">SUMIFS(Input!$E:$E,Input!$D:$D,"Pengeluaran",Input!$F:$F,M16,Input!$C:$C,"&gt;="&amp;$E$3,Input!$C:$C,"&lt;="&amp;$C$3)</f>
        <v>3601629</v>
      </c>
      <c r="O16" s="1" t="n">
        <f aca="false">N16+ROW()*0.0000001</f>
        <v>3601629.0000016</v>
      </c>
    </row>
    <row r="17" customFormat="false" ht="12" hidden="false" customHeight="true" outlineLevel="0" collapsed="false">
      <c r="B17" s="54" t="s">
        <v>326</v>
      </c>
      <c r="C17" s="55" t="n">
        <f aca="false">SUMIFS(Input!$E:$E,Input!$D:$D,"Pengeluaran",Input!$K:$K,B17,Input!$C:$C,"&gt;="&amp;$E$3,Input!$C:$C,"&lt;="&amp;$C$3)</f>
        <v>558000</v>
      </c>
      <c r="D17" s="56" t="n">
        <f aca="false">IF($B$11=0,0,C17/$B$11)</f>
        <v>0.0179280132435969</v>
      </c>
      <c r="E17" s="57" t="n">
        <f aca="false">INDEX(Kategori_Mapping!$H:$K,MATCH(Baseline!$D$30,Kategori_Mapping!$G:$G,0),MATCH(B17,Kategori_Mapping!$H$1:$K$1,0))</f>
        <v>0.1</v>
      </c>
      <c r="F17" s="58" t="n">
        <f aca="false">D17-E17</f>
        <v>-0.0820719867564031</v>
      </c>
      <c r="G17" s="57" t="n">
        <f aca="false">IF(E17=0,0,D17/E17)</f>
        <v>0.179280132435969</v>
      </c>
      <c r="H17" s="54" t="str">
        <f aca="false">IF(D17&lt;=E17,"Sehat (dalam batas)","Melebihi batas maksimal — lebih "&amp;TEXT(D17-E17,"0.0%"))</f>
        <v>Sehat (dalam batas)</v>
      </c>
      <c r="I17" s="54" t="s">
        <v>327</v>
      </c>
      <c r="M17" s="1" t="s">
        <v>134</v>
      </c>
      <c r="N17" s="1" t="n">
        <f aca="false">SUMIFS(Input!$E:$E,Input!$D:$D,"Pengeluaran",Input!$F:$F,M17,Input!$C:$C,"&gt;="&amp;$E$3,Input!$C:$C,"&lt;="&amp;$C$3)</f>
        <v>101500</v>
      </c>
      <c r="O17" s="1" t="n">
        <f aca="false">N17+ROW()*0.0000001</f>
        <v>101500.0000017</v>
      </c>
    </row>
    <row r="18" customFormat="false" ht="12" hidden="false" customHeight="true" outlineLevel="0" collapsed="false">
      <c r="B18" s="54" t="s">
        <v>328</v>
      </c>
      <c r="C18" s="55" t="n">
        <f aca="false">SUMIFS(Input!$E:$E,Input!$D:$D,"Pengeluaran",Input!$K:$K,B18,Input!$C:$C,"&gt;="&amp;$E$3,Input!$C:$C,"&lt;="&amp;$C$3)</f>
        <v>7296219</v>
      </c>
      <c r="D18" s="56" t="n">
        <f aca="false">IF($B$11=0,0,C18/$B$11)</f>
        <v>0.23442062878169</v>
      </c>
      <c r="E18" s="57" t="n">
        <f aca="false">INDEX(Kategori_Mapping!$H:$K,MATCH(Baseline!$D$30,Kategori_Mapping!$G:$G,0),MATCH(B18,Kategori_Mapping!$H$1:$K$1,0))</f>
        <v>0.1</v>
      </c>
      <c r="F18" s="58" t="n">
        <f aca="false">D18-E18</f>
        <v>0.13442062878169</v>
      </c>
      <c r="G18" s="57" t="n">
        <f aca="false">IF(E18=0,0,D18/E18)</f>
        <v>2.3442062878169</v>
      </c>
      <c r="H18" s="54" t="str">
        <f aca="false">IF(D18&lt;=E18,"Sehat (dalam batas)","Melebihi batas maksimal — lebih "&amp;TEXT(D18-E18,"0.0%"))</f>
        <v>Melebihi batas maksimal — lebih 13.4%</v>
      </c>
      <c r="I18" s="54" t="s">
        <v>327</v>
      </c>
      <c r="M18" s="1" t="s">
        <v>139</v>
      </c>
      <c r="N18" s="1" t="n">
        <f aca="false">SUMIFS(Input!$E:$E,Input!$D:$D,"Pengeluaran",Input!$F:$F,M18,Input!$C:$C,"&gt;="&amp;$E$3,Input!$C:$C,"&lt;="&amp;$C$3)</f>
        <v>2099485</v>
      </c>
      <c r="O18" s="1" t="n">
        <f aca="false">N18+ROW()*0.0000001</f>
        <v>2099485.0000018</v>
      </c>
    </row>
    <row r="19" customFormat="false" ht="13.5" hidden="false" customHeight="true" outlineLevel="0" collapsed="false">
      <c r="B19" s="10" t="s">
        <v>329</v>
      </c>
      <c r="C19" s="30" t="n">
        <f aca="false">SUM(C15:C18)</f>
        <v>25193237</v>
      </c>
      <c r="D19" s="59" t="n">
        <f aca="false">SUM(D15:D18)</f>
        <v>0.809434922195475</v>
      </c>
      <c r="M19" s="1" t="s">
        <v>151</v>
      </c>
      <c r="N19" s="1" t="n">
        <f aca="false">SUMIFS(Input!$E:$E,Input!$D:$D,"Pengeluaran",Input!$F:$F,M19,Input!$C:$C,"&gt;="&amp;$E$3,Input!$C:$C,"&lt;="&amp;$C$3)</f>
        <v>1050000</v>
      </c>
      <c r="O19" s="1" t="n">
        <f aca="false">N19+ROW()*0.0000001</f>
        <v>1050000.0000019</v>
      </c>
    </row>
    <row r="20" customFormat="false" ht="19.5" hidden="false" customHeight="true" outlineLevel="0" collapsed="false">
      <c r="B20" s="45" t="s">
        <v>330</v>
      </c>
      <c r="C20" s="46"/>
      <c r="D20" s="46"/>
      <c r="E20" s="46"/>
      <c r="G20" s="45" t="s">
        <v>331</v>
      </c>
      <c r="H20" s="46"/>
      <c r="I20" s="46"/>
      <c r="J20" s="46"/>
      <c r="M20" s="1" t="s">
        <v>157</v>
      </c>
      <c r="N20" s="1" t="n">
        <f aca="false">SUMIFS(Input!$E:$E,Input!$D:$D,"Pengeluaran",Input!$F:$F,M20,Input!$C:$C,"&gt;="&amp;$E$3,Input!$C:$C,"&lt;="&amp;$C$3)</f>
        <v>200000</v>
      </c>
      <c r="O20" s="1" t="n">
        <f aca="false">N20+ROW()*0.0000001</f>
        <v>200000.000002</v>
      </c>
    </row>
    <row r="21" customFormat="false" ht="13.5" hidden="false" customHeight="true" outlineLevel="0" collapsed="false">
      <c r="B21" s="10" t="s">
        <v>10</v>
      </c>
      <c r="C21" s="10" t="s">
        <v>332</v>
      </c>
      <c r="D21" s="10" t="s">
        <v>333</v>
      </c>
      <c r="G21" s="10" t="s">
        <v>334</v>
      </c>
      <c r="H21" s="10" t="s">
        <v>335</v>
      </c>
      <c r="I21" s="10" t="s">
        <v>19</v>
      </c>
      <c r="J21" s="10" t="s">
        <v>336</v>
      </c>
      <c r="M21" s="1" t="s">
        <v>113</v>
      </c>
      <c r="N21" s="1" t="n">
        <f aca="false">SUMIFS(Input!$E:$E,Input!$D:$D,"Pengeluaran",Input!$F:$F,M21,Input!$C:$C,"&gt;="&amp;$E$3,Input!$C:$C,"&lt;="&amp;$C$3)</f>
        <v>100000</v>
      </c>
      <c r="O21" s="1" t="n">
        <f aca="false">N21+ROW()*0.0000001</f>
        <v>100000.0000021</v>
      </c>
    </row>
    <row r="22" customFormat="false" ht="12" hidden="false" customHeight="true" outlineLevel="0" collapsed="false">
      <c r="B22" s="54" t="str">
        <f aca="false">IFERROR(INDEX($M$2:$M$21,MATCH(LARGE($O$2:$O$21,1),$O$2:$O$21,0)),"")</f>
        <v>INVESTASI</v>
      </c>
      <c r="C22" s="55" t="n">
        <f aca="false">IFERROR(INDEX($N$2:$N$21,MATCH(LARGE($O$2:$O$21,1),$O$2:$O$21,0)),0)</f>
        <v>6390000</v>
      </c>
      <c r="D22" s="56" t="n">
        <f aca="false">IF($D$11=0,0,C22/$D$11)</f>
        <v>0.252616727805318</v>
      </c>
      <c r="G22" s="60" t="n">
        <f aca="false">EDATE($C$3,-11)</f>
        <v>45838</v>
      </c>
      <c r="H22" s="31" t="n">
        <f aca="false">SUMIFS(Input!$E:$E,Input!$D:$D,"Pemasukan",Input!$C:$C,"&gt;="&amp;DATE(YEAR(G22),MONTH(G22),1),Input!$C:$C,"&lt;="&amp;EOMONTH(G22,0))</f>
        <v>0</v>
      </c>
      <c r="I22" s="31" t="n">
        <f aca="false">SUMIFS(Input!$E:$E,Input!$D:$D,"Pengeluaran",Input!$C:$C,"&gt;="&amp;DATE(YEAR(G22),MONTH(G22),1),Input!$C:$C,"&lt;="&amp;EOMONTH(G22,0))</f>
        <v>0</v>
      </c>
      <c r="J22" s="31" t="n">
        <f aca="false">H22-I22</f>
        <v>0</v>
      </c>
    </row>
    <row r="23" customFormat="false" ht="12" hidden="false" customHeight="true" outlineLevel="0" collapsed="false">
      <c r="B23" s="54" t="str">
        <f aca="false">IFERROR(INDEX($M$2:$M$21,MATCH(LARGE($O$2:$O$21,2),$O$2:$O$21,0)),"")</f>
        <v>Tagihan</v>
      </c>
      <c r="C23" s="55" t="n">
        <f aca="false">IFERROR(INDEX($N$2:$N$21,MATCH(LARGE($O$2:$O$21,2),$O$2:$O$21,0)),0)</f>
        <v>3601629</v>
      </c>
      <c r="D23" s="56" t="n">
        <f aca="false">IF($D$11=0,0,C23/$D$11)</f>
        <v>0.142383682746281</v>
      </c>
      <c r="G23" s="60" t="n">
        <f aca="false">EDATE($C$3,-10)</f>
        <v>45869</v>
      </c>
      <c r="H23" s="31" t="n">
        <f aca="false">SUMIFS(Input!$E:$E,Input!$D:$D,"Pemasukan",Input!$C:$C,"&gt;="&amp;DATE(YEAR(G23),MONTH(G23),1),Input!$C:$C,"&lt;="&amp;EOMONTH(G23,0))</f>
        <v>0</v>
      </c>
      <c r="I23" s="31" t="n">
        <f aca="false">SUMIFS(Input!$E:$E,Input!$D:$D,"Pengeluaran",Input!$C:$C,"&gt;="&amp;DATE(YEAR(G23),MONTH(G23),1),Input!$C:$C,"&lt;="&amp;EOMONTH(G23,0))</f>
        <v>0</v>
      </c>
      <c r="J23" s="31" t="n">
        <f aca="false">H23-I23</f>
        <v>0</v>
      </c>
    </row>
    <row r="24" customFormat="false" ht="12" hidden="false" customHeight="true" outlineLevel="0" collapsed="false">
      <c r="B24" s="54" t="str">
        <f aca="false">IFERROR(INDEX($M$2:$M$21,MATCH(LARGE($O$2:$O$21,3),$O$2:$O$21,0)),"")</f>
        <v>Sosial</v>
      </c>
      <c r="C24" s="55" t="n">
        <f aca="false">IFERROR(INDEX($N$2:$N$21,MATCH(LARGE($O$2:$O$21,3),$O$2:$O$21,0)),0)</f>
        <v>3377085</v>
      </c>
      <c r="D24" s="56" t="n">
        <f aca="false">IF($D$11=0,0,C24/$D$11)</f>
        <v>0.133506754651083</v>
      </c>
      <c r="G24" s="60" t="n">
        <f aca="false">EDATE($C$3,-9)</f>
        <v>45900</v>
      </c>
      <c r="H24" s="31" t="n">
        <f aca="false">SUMIFS(Input!$E:$E,Input!$D:$D,"Pemasukan",Input!$C:$C,"&gt;="&amp;DATE(YEAR(G24),MONTH(G24),1),Input!$C:$C,"&lt;="&amp;EOMONTH(G24,0))</f>
        <v>0</v>
      </c>
      <c r="I24" s="31" t="n">
        <f aca="false">SUMIFS(Input!$E:$E,Input!$D:$D,"Pengeluaran",Input!$C:$C,"&gt;="&amp;DATE(YEAR(G24),MONTH(G24),1),Input!$C:$C,"&lt;="&amp;EOMONTH(G24,0))</f>
        <v>0</v>
      </c>
      <c r="J24" s="31" t="n">
        <f aca="false">H24-I24</f>
        <v>0</v>
      </c>
    </row>
    <row r="25" customFormat="false" ht="12" hidden="false" customHeight="true" outlineLevel="0" collapsed="false">
      <c r="B25" s="54" t="str">
        <f aca="false">IFERROR(INDEX($M$2:$M$21,MATCH(LARGE($O$2:$O$21,4),$O$2:$O$21,0)),"")</f>
        <v>Rumah</v>
      </c>
      <c r="C25" s="55" t="n">
        <f aca="false">IFERROR(INDEX($N$2:$N$21,MATCH(LARGE($O$2:$O$21,4),$O$2:$O$21,0)),0)</f>
        <v>2116000</v>
      </c>
      <c r="D25" s="56" t="n">
        <f aca="false">IF($D$11=0,0,C25/$D$11)</f>
        <v>0.0836521120557202</v>
      </c>
      <c r="G25" s="60" t="n">
        <f aca="false">EDATE($C$3,-8)</f>
        <v>45930</v>
      </c>
      <c r="H25" s="31" t="n">
        <f aca="false">SUMIFS(Input!$E:$E,Input!$D:$D,"Pemasukan",Input!$C:$C,"&gt;="&amp;DATE(YEAR(G25),MONTH(G25),1),Input!$C:$C,"&lt;="&amp;EOMONTH(G25,0))</f>
        <v>0</v>
      </c>
      <c r="I25" s="31" t="n">
        <f aca="false">SUMIFS(Input!$E:$E,Input!$D:$D,"Pengeluaran",Input!$C:$C,"&gt;="&amp;DATE(YEAR(G25),MONTH(G25),1),Input!$C:$C,"&lt;="&amp;EOMONTH(G25,0))</f>
        <v>0</v>
      </c>
      <c r="J25" s="31" t="n">
        <f aca="false">H25-I25</f>
        <v>0</v>
      </c>
    </row>
    <row r="26" customFormat="false" ht="12" hidden="false" customHeight="true" outlineLevel="0" collapsed="false">
      <c r="B26" s="54" t="str">
        <f aca="false">IFERROR(INDEX($M$2:$M$21,MATCH(LARGE($O$2:$O$21,5),$O$2:$O$21,0)),"")</f>
        <v>Transportasi</v>
      </c>
      <c r="C26" s="55" t="n">
        <f aca="false">IFERROR(INDEX($N$2:$N$21,MATCH(LARGE($O$2:$O$21,5),$O$2:$O$21,0)),0)</f>
        <v>2099485</v>
      </c>
      <c r="D26" s="56" t="n">
        <f aca="false">IF($D$11=0,0,C26/$D$11)</f>
        <v>0.0829992223437163</v>
      </c>
      <c r="G26" s="60" t="n">
        <f aca="false">EDATE($C$3,-7)</f>
        <v>45961</v>
      </c>
      <c r="H26" s="31" t="n">
        <f aca="false">SUMIFS(Input!$E:$E,Input!$D:$D,"Pemasukan",Input!$C:$C,"&gt;="&amp;DATE(YEAR(G26),MONTH(G26),1),Input!$C:$C,"&lt;="&amp;EOMONTH(G26,0))</f>
        <v>0</v>
      </c>
      <c r="I26" s="31" t="n">
        <f aca="false">SUMIFS(Input!$E:$E,Input!$D:$D,"Pengeluaran",Input!$C:$C,"&gt;="&amp;DATE(YEAR(G26),MONTH(G26),1),Input!$C:$C,"&lt;="&amp;EOMONTH(G26,0))</f>
        <v>0</v>
      </c>
      <c r="J26" s="31" t="n">
        <f aca="false">H26-I26</f>
        <v>0</v>
      </c>
    </row>
    <row r="27" customFormat="false" ht="12" hidden="false" customHeight="true" outlineLevel="0" collapsed="false">
      <c r="B27" s="54" t="str">
        <f aca="false">IFERROR(INDEX($M$2:$M$21,MATCH(LARGE($O$2:$O$21,6),$O$2:$O$21,0)),"")</f>
        <v>Skin care-beauty</v>
      </c>
      <c r="C27" s="55" t="n">
        <f aca="false">IFERROR(INDEX($N$2:$N$21,MATCH(LARGE($O$2:$O$21,6),$O$2:$O$21,0)),0)</f>
        <v>1340989</v>
      </c>
      <c r="D27" s="56" t="n">
        <f aca="false">IF($D$11=0,0,C27/$D$11)</f>
        <v>0.0530134981538224</v>
      </c>
      <c r="G27" s="60" t="n">
        <f aca="false">EDATE($C$3,-6)</f>
        <v>45991</v>
      </c>
      <c r="H27" s="31" t="n">
        <f aca="false">SUMIFS(Input!$E:$E,Input!$D:$D,"Pemasukan",Input!$C:$C,"&gt;="&amp;DATE(YEAR(G27),MONTH(G27),1),Input!$C:$C,"&lt;="&amp;EOMONTH(G27,0))</f>
        <v>0</v>
      </c>
      <c r="I27" s="31" t="n">
        <f aca="false">SUMIFS(Input!$E:$E,Input!$D:$D,"Pengeluaran",Input!$C:$C,"&gt;="&amp;DATE(YEAR(G27),MONTH(G27),1),Input!$C:$C,"&lt;="&amp;EOMONTH(G27,0))</f>
        <v>0</v>
      </c>
      <c r="J27" s="31" t="n">
        <f aca="false">H27-I27</f>
        <v>0</v>
      </c>
    </row>
    <row r="28" customFormat="false" ht="12" hidden="false" customHeight="true" outlineLevel="0" collapsed="false">
      <c r="B28" s="54" t="str">
        <f aca="false">IFERROR(INDEX($M$2:$M$21,MATCH(LARGE($O$2:$O$21,7),$O$2:$O$21,0)),"")</f>
        <v>Makanan</v>
      </c>
      <c r="C28" s="55" t="n">
        <f aca="false">IFERROR(INDEX($N$2:$N$21,MATCH(LARGE($O$2:$O$21,7),$O$2:$O$21,0)),0)</f>
        <v>1263690</v>
      </c>
      <c r="D28" s="56" t="n">
        <f aca="false">IF($D$11=0,0,C28/$D$11)</f>
        <v>0.0499576264100629</v>
      </c>
      <c r="G28" s="60" t="n">
        <f aca="false">EDATE($C$3,-5)</f>
        <v>46022</v>
      </c>
      <c r="H28" s="31" t="n">
        <f aca="false">SUMIFS(Input!$E:$E,Input!$D:$D,"Pemasukan",Input!$C:$C,"&gt;="&amp;DATE(YEAR(G28),MONTH(G28),1),Input!$C:$C,"&lt;="&amp;EOMONTH(G28,0))</f>
        <v>0</v>
      </c>
      <c r="I28" s="31" t="n">
        <f aca="false">SUMIFS(Input!$E:$E,Input!$D:$D,"Pengeluaran",Input!$C:$C,"&gt;="&amp;DATE(YEAR(G28),MONTH(G28),1),Input!$C:$C,"&lt;="&amp;EOMONTH(G28,0))</f>
        <v>0</v>
      </c>
      <c r="J28" s="31" t="n">
        <f aca="false">H28-I28</f>
        <v>0</v>
      </c>
    </row>
    <row r="29" customFormat="false" ht="12" hidden="false" customHeight="true" outlineLevel="0" collapsed="false">
      <c r="B29" s="54" t="str">
        <f aca="false">IFERROR(INDEX($M$2:$M$21,MATCH(LARGE($O$2:$O$21,8),$O$2:$O$21,0)),"")</f>
        <v>Grab/maxime</v>
      </c>
      <c r="C29" s="55" t="n">
        <f aca="false">IFERROR(INDEX($N$2:$N$21,MATCH(LARGE($O$2:$O$21,8),$O$2:$O$21,0)),0)</f>
        <v>1220900</v>
      </c>
      <c r="D29" s="56" t="n">
        <f aca="false">IF($D$11=0,0,C29/$D$11)</f>
        <v>0.0482660035958548</v>
      </c>
      <c r="G29" s="60" t="n">
        <f aca="false">EDATE($C$3,-4)</f>
        <v>46053</v>
      </c>
      <c r="H29" s="31" t="n">
        <f aca="false">SUMIFS(Input!$E:$E,Input!$D:$D,"Pemasukan",Input!$C:$C,"&gt;="&amp;DATE(YEAR(G29),MONTH(G29),1),Input!$C:$C,"&lt;="&amp;EOMONTH(G29,0))</f>
        <v>0</v>
      </c>
      <c r="I29" s="31" t="n">
        <f aca="false">SUMIFS(Input!$E:$E,Input!$D:$D,"Pengeluaran",Input!$C:$C,"&gt;="&amp;DATE(YEAR(G29),MONTH(G29),1),Input!$C:$C,"&lt;="&amp;EOMONTH(G29,0))</f>
        <v>0</v>
      </c>
      <c r="J29" s="31" t="n">
        <f aca="false">H29-I29</f>
        <v>0</v>
      </c>
    </row>
    <row r="30" customFormat="false" ht="12" hidden="false" customHeight="true" outlineLevel="0" collapsed="false">
      <c r="B30" s="54" t="str">
        <f aca="false">IFERROR(INDEX($M$2:$M$21,MATCH(LARGE($O$2:$O$21,9),$O$2:$O$21,0)),"")</f>
        <v>Mega-kurnia</v>
      </c>
      <c r="C30" s="55" t="n">
        <f aca="false">IFERROR(INDEX($N$2:$N$21,MATCH(LARGE($O$2:$O$21,9),$O$2:$O$21,0)),0)</f>
        <v>1050000</v>
      </c>
      <c r="D30" s="56" t="n">
        <f aca="false">IF($D$11=0,0,C30/$D$11)</f>
        <v>0.0415097909539254</v>
      </c>
      <c r="G30" s="60" t="n">
        <f aca="false">EDATE($C$3,-3)</f>
        <v>46081</v>
      </c>
      <c r="H30" s="31" t="n">
        <f aca="false">SUMIFS(Input!$E:$E,Input!$D:$D,"Pemasukan",Input!$C:$C,"&gt;="&amp;DATE(YEAR(G30),MONTH(G30),1),Input!$C:$C,"&lt;="&amp;EOMONTH(G30,0))</f>
        <v>0</v>
      </c>
      <c r="I30" s="31" t="n">
        <f aca="false">SUMIFS(Input!$E:$E,Input!$D:$D,"Pengeluaran",Input!$C:$C,"&gt;="&amp;DATE(YEAR(G30),MONTH(G30),1),Input!$C:$C,"&lt;="&amp;EOMONTH(G30,0))</f>
        <v>0</v>
      </c>
      <c r="J30" s="31" t="n">
        <f aca="false">H30-I30</f>
        <v>0</v>
      </c>
    </row>
    <row r="31" customFormat="false" ht="12" hidden="false" customHeight="true" outlineLevel="0" collapsed="false">
      <c r="B31" s="54" t="str">
        <f aca="false">IFERROR(INDEX($M$2:$M$21,MATCH(LARGE($O$2:$O$21,10),$O$2:$O$21,0)),"")</f>
        <v>Pakaian</v>
      </c>
      <c r="C31" s="55" t="n">
        <f aca="false">IFERROR(INDEX($N$2:$N$21,MATCH(LARGE($O$2:$O$21,10),$O$2:$O$21,0)),0)</f>
        <v>959145</v>
      </c>
      <c r="D31" s="56" t="n">
        <f aca="false">IF($D$11=0,0,C31/$D$11)</f>
        <v>0.0379180080423836</v>
      </c>
      <c r="G31" s="60" t="n">
        <f aca="false">EDATE($C$3,-2)</f>
        <v>46112</v>
      </c>
      <c r="H31" s="31" t="n">
        <f aca="false">SUMIFS(Input!$E:$E,Input!$D:$D,"Pemasukan",Input!$C:$C,"&gt;="&amp;DATE(YEAR(G31),MONTH(G31),1),Input!$C:$C,"&lt;="&amp;EOMONTH(G31,0))</f>
        <v>0</v>
      </c>
      <c r="I31" s="31" t="n">
        <f aca="false">SUMIFS(Input!$E:$E,Input!$D:$D,"Pengeluaran",Input!$C:$C,"&gt;="&amp;DATE(YEAR(G31),MONTH(G31),1),Input!$C:$C,"&lt;="&amp;EOMONTH(G31,0))</f>
        <v>0</v>
      </c>
      <c r="J31" s="31" t="n">
        <f aca="false">H31-I31</f>
        <v>0</v>
      </c>
    </row>
    <row r="32" customFormat="false" ht="12" hidden="false" customHeight="true" outlineLevel="0" collapsed="false">
      <c r="G32" s="60" t="n">
        <f aca="false">EDATE($C$3,-1)</f>
        <v>46142</v>
      </c>
      <c r="H32" s="31" t="n">
        <f aca="false">SUMIFS(Input!$E:$E,Input!$D:$D,"Pemasukan",Input!$C:$C,"&gt;="&amp;DATE(YEAR(G32),MONTH(G32),1),Input!$C:$C,"&lt;="&amp;EOMONTH(G32,0))</f>
        <v>0</v>
      </c>
      <c r="I32" s="31" t="n">
        <f aca="false">SUMIFS(Input!$E:$E,Input!$D:$D,"Pengeluaran",Input!$C:$C,"&gt;="&amp;DATE(YEAR(G32),MONTH(G32),1),Input!$C:$C,"&lt;="&amp;EOMONTH(G32,0))</f>
        <v>0</v>
      </c>
      <c r="J32" s="31" t="n">
        <f aca="false">H32-I32</f>
        <v>0</v>
      </c>
    </row>
    <row r="33" customFormat="false" ht="12" hidden="false" customHeight="true" outlineLevel="0" collapsed="false">
      <c r="G33" s="60" t="n">
        <f aca="false">EDATE($C$3,-0)</f>
        <v>46173</v>
      </c>
      <c r="H33" s="31" t="n">
        <f aca="false">SUMIFS(Input!$E:$E,Input!$D:$D,"Pemasukan",Input!$C:$C,"&gt;="&amp;DATE(YEAR(G33),MONTH(G33),1),Input!$C:$C,"&lt;="&amp;EOMONTH(G33,0))</f>
        <v>31124475</v>
      </c>
      <c r="I33" s="31" t="n">
        <f aca="false">SUMIFS(Input!$E:$E,Input!$D:$D,"Pengeluaran",Input!$C:$C,"&gt;="&amp;DATE(YEAR(G33),MONTH(G33),1),Input!$C:$C,"&lt;="&amp;EOMONTH(G33,0))</f>
        <v>25295237</v>
      </c>
      <c r="J33" s="31" t="n">
        <f aca="false">H33-I33</f>
        <v>5829238</v>
      </c>
    </row>
    <row r="34" customFormat="false" ht="19.5" hidden="false" customHeight="true" outlineLevel="0" collapsed="false">
      <c r="B34" s="45" t="s">
        <v>337</v>
      </c>
      <c r="C34" s="46"/>
      <c r="D34" s="46"/>
      <c r="E34" s="46"/>
      <c r="F34" s="46"/>
      <c r="G34" s="46"/>
      <c r="H34" s="46"/>
      <c r="I34" s="46"/>
      <c r="J34" s="46"/>
    </row>
    <row r="35" customFormat="false" ht="13.5" hidden="false" customHeight="true" outlineLevel="0" collapsed="false">
      <c r="B35" s="10" t="s">
        <v>338</v>
      </c>
      <c r="D35" s="1" t="s">
        <v>339</v>
      </c>
      <c r="E35" s="27" t="n">
        <f aca="false">MIN(H11/0.2,1)*100</f>
        <v>93.643957046665</v>
      </c>
    </row>
    <row r="36" customFormat="false" ht="12" hidden="false" customHeight="true" outlineLevel="0" collapsed="false">
      <c r="D36" s="1" t="s">
        <v>340</v>
      </c>
      <c r="E36" s="27" t="n">
        <f aca="false">MAX(0,100-AVERAGE(ABS(F15),ABS(F16),ABS(F17),ABS(F18))*100)</f>
        <v>88.5148416158024</v>
      </c>
    </row>
    <row r="37" customFormat="false" ht="24" hidden="false" customHeight="true" outlineLevel="0" collapsed="false">
      <c r="B37" s="1" t="s">
        <v>341</v>
      </c>
      <c r="C37" s="61" t="n">
        <f aca="false">ROUND(AVERAGE(E35,E36),0)</f>
        <v>91</v>
      </c>
      <c r="D37" s="62" t="str">
        <f aca="false">IF(C37&gt;=80,"Excellent",IF(C37&gt;=65,"Good",IF(C37&gt;=45,"Fair","Needs Attention")))</f>
        <v>Excellent</v>
      </c>
    </row>
    <row r="38" customFormat="false" ht="13.5" hidden="false" customHeight="true" outlineLevel="0" collapsed="false">
      <c r="B38" s="10" t="s">
        <v>342</v>
      </c>
    </row>
    <row r="39" customFormat="false" ht="12" hidden="false" customHeight="true" outlineLevel="0" collapsed="false">
      <c r="B39" s="42" t="str">
        <f aca="false">IF(F11&gt;0,"Cashflow positif Rp"&amp;TEXT(F11,"#,##0")&amp;", pertahankan konsistensinya.","Cashflow negatif Rp"&amp;TEXT(F11,"#,##0")&amp;" — perlu evaluasi pengeluaran segera.")</f>
        <v>Cashflow positif Rp5,829,238, pertahankan konsistensinya.</v>
      </c>
      <c r="C39" s="42"/>
      <c r="D39" s="42"/>
      <c r="E39" s="42"/>
      <c r="F39" s="42"/>
      <c r="G39" s="42"/>
      <c r="H39" s="42"/>
      <c r="I39" s="42"/>
    </row>
    <row r="40" customFormat="false" ht="12" hidden="false" customHeight="true" outlineLevel="0" collapsed="false">
      <c r="B40" s="42" t="str">
        <f aca="false">IF(F17&lt;-0.03,"Alokasi Protection masih "&amp;TEXT(D17,"0%")&amp;" (ideal "&amp;TEXT(E17,"0%")&amp;") — pertimbangkan menambah dana darurat/asuransi.",IF(F17&gt;0.03,"Alokasi Protection di atas ideal, sudah cukup terlindungi.","Alokasi Protection sudah sesuai ideal."))</f>
        <v>Alokasi Protection masih 2% (ideal 10%) — pertimbangkan menambah dana darurat/asuransi.</v>
      </c>
      <c r="C40" s="42"/>
      <c r="D40" s="42"/>
      <c r="E40" s="42"/>
      <c r="F40" s="42"/>
      <c r="G40" s="42"/>
      <c r="H40" s="42"/>
      <c r="I40" s="42"/>
    </row>
    <row r="41" customFormat="false" ht="12" hidden="false" customHeight="true" outlineLevel="0" collapsed="false">
      <c r="B41" s="42" t="str">
        <f aca="false">IF(F18&gt;0.03,"Flexible + Social spending "&amp;TEXT(D18,"0%")&amp;" (ideal "&amp;TEXT(E18,"0%")&amp;") — di atas ideal, evaluasi pengeluaran gaya hidup.","Flexible + Social spending masih terkendali.")</f>
        <v>Flexible + Social spending 23% (ideal 10%) — di atas ideal, evaluasi pengeluaran gaya hidup.</v>
      </c>
      <c r="C41" s="42"/>
      <c r="D41" s="42"/>
      <c r="E41" s="42"/>
      <c r="F41" s="42"/>
      <c r="G41" s="42"/>
      <c r="H41" s="42"/>
      <c r="I41" s="42"/>
    </row>
  </sheetData>
  <mergeCells count="3">
    <mergeCell ref="B39:I39"/>
    <mergeCell ref="B40:I40"/>
    <mergeCell ref="B41:I41"/>
  </mergeCells>
  <conditionalFormatting sqref="G15:G18">
    <cfRule type="dataBar" priority="2">
      <dataBar showValue="1" minLength="10" maxLength="90">
        <cfvo type="num" val="0"/>
        <cfvo type="num" val="1.5"/>
        <color rgb="FF0F6E5F"/>
      </dataBar>
      <extLst>
        <ext xmlns:x14="http://schemas.microsoft.com/office/spreadsheetml/2009/9/main" uri="{B025F937-C7B1-47D3-B67F-A62EFF666E3E}">
          <x14:id>{A146ABBE-244B-4457-AE90-89C26D5B4B81}</x14:id>
        </ext>
      </extLst>
    </cfRule>
  </conditionalFormatting>
  <dataValidations count="1">
    <dataValidation allowBlank="false" errorStyle="stop" operator="between" showDropDown="false" showErrorMessage="false" showInputMessage="false" sqref="G1" type="list">
      <formula1>"1,3,6,12"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46ABBE-244B-4457-AE90-89C26D5B4B81}">
            <x14:dataBar minLength="10" maxLength="90" axisPosition="none" gradient="true">
              <x14:cfvo type="num">
                <xm:f>0</xm:f>
              </x14:cfvo>
              <x14:cfvo type="num">
                <xm:f>1.5</xm:f>
              </x14:cfvo>
              <x14:negativeFillColor rgb="FF0F6E5F"/>
              <x14:axisColor rgb="FF000000"/>
            </x14:dataBar>
          </x14:cfRule>
          <xm:sqref>G15:G18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R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9" activeCellId="0" sqref="J19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11" min="3" style="1" width="16"/>
    <col collapsed="false" customWidth="true" hidden="true" outlineLevel="0" max="18" min="17" style="1" width="13"/>
  </cols>
  <sheetData>
    <row r="1" customFormat="false" ht="19.5" hidden="false" customHeight="true" outlineLevel="0" collapsed="false">
      <c r="B1" s="17" t="s">
        <v>343</v>
      </c>
      <c r="F1" s="10" t="s">
        <v>299</v>
      </c>
      <c r="G1" s="1" t="n">
        <v>3</v>
      </c>
      <c r="Q1" s="18" t="s">
        <v>344</v>
      </c>
    </row>
    <row r="2" customFormat="false" ht="12" hidden="false" customHeight="true" outlineLevel="0" collapsed="false">
      <c r="B2" s="18" t="s">
        <v>345</v>
      </c>
      <c r="Q2" s="1" t="s">
        <v>20</v>
      </c>
      <c r="R2" s="1" t="n">
        <f aca="false">SUMIFS(Input!$E:$E,Input!$D:$D,"Pengeluaran",Input!$H:$H,"Yes",Input!$F:$F,Q2,Input!$C:$C,"&gt;="&amp;$C$3,Input!$C:$C,"&lt;="&amp;$B$3)</f>
        <v>0</v>
      </c>
    </row>
    <row r="3" customFormat="false" ht="12" hidden="false" customHeight="true" outlineLevel="0" collapsed="false">
      <c r="B3" s="44" t="n">
        <f aca="false">MAX(Input!C:C)</f>
        <v>46173</v>
      </c>
      <c r="C3" s="44" t="n">
        <f aca="false">EDATE(DATE(YEAR(B3),MONTH(B3),1),-(G1-1))</f>
        <v>46082</v>
      </c>
      <c r="Q3" s="1" t="s">
        <v>24</v>
      </c>
      <c r="R3" s="1" t="n">
        <f aca="false">SUMIFS(Input!$E:$E,Input!$D:$D,"Pengeluaran",Input!$H:$H,"Yes",Input!$F:$F,Q3,Input!$C:$C,"&gt;="&amp;$C$3,Input!$C:$C,"&lt;="&amp;$B$3)</f>
        <v>0</v>
      </c>
    </row>
    <row r="4" customFormat="false" ht="12" hidden="false" customHeight="true" outlineLevel="0" collapsed="false">
      <c r="Q4" s="1" t="s">
        <v>26</v>
      </c>
      <c r="R4" s="1" t="n">
        <f aca="false">SUMIFS(Input!$E:$E,Input!$D:$D,"Pengeluaran",Input!$H:$H,"Yes",Input!$F:$F,Q4,Input!$C:$C,"&gt;="&amp;$C$3,Input!$C:$C,"&lt;="&amp;$B$3)</f>
        <v>589100</v>
      </c>
    </row>
    <row r="5" customFormat="false" ht="19.5" hidden="false" customHeight="true" outlineLevel="0" collapsed="false">
      <c r="B5" s="45" t="s">
        <v>346</v>
      </c>
      <c r="C5" s="46"/>
      <c r="D5" s="46"/>
      <c r="E5" s="46"/>
      <c r="F5" s="46"/>
      <c r="G5" s="46"/>
      <c r="H5" s="46"/>
      <c r="I5" s="46"/>
      <c r="Q5" s="1" t="s">
        <v>28</v>
      </c>
      <c r="R5" s="1" t="n">
        <f aca="false">SUMIFS(Input!$E:$E,Input!$D:$D,"Pengeluaran",Input!$H:$H,"Yes",Input!$F:$F,Q5,Input!$C:$C,"&gt;="&amp;$C$3,Input!$C:$C,"&lt;="&amp;$B$3)</f>
        <v>19200</v>
      </c>
    </row>
    <row r="6" customFormat="false" ht="13.5" hidden="false" customHeight="true" outlineLevel="0" collapsed="false">
      <c r="B6" s="10" t="s">
        <v>347</v>
      </c>
      <c r="D6" s="63" t="str">
        <f aca="false">IF(COUNTIF(Baseline!D69:D111,"Severe Dysregulation")+COUNTIF(Baseline!D69:D111,"Moderate Dysregulation")+COUNTIF(Baseline!D69:D111,"Mild Dysregulation")+COUNTIF(Baseline!D69:D111,"Regulasi Stabil")&gt;0,"Sudah FTSA","Belum FTSA")</f>
        <v>Sudah FTSA</v>
      </c>
      <c r="Q6" s="1" t="s">
        <v>30</v>
      </c>
      <c r="R6" s="1" t="n">
        <f aca="false">SUMIFS(Input!$E:$E,Input!$D:$D,"Pengeluaran",Input!$H:$H,"Yes",Input!$F:$F,Q6,Input!$C:$C,"&gt;="&amp;$C$3,Input!$C:$C,"&lt;="&amp;$B$3)</f>
        <v>739257</v>
      </c>
    </row>
    <row r="7" customFormat="false" ht="15.75" hidden="false" customHeight="true" outlineLevel="0" collapsed="false">
      <c r="B7" s="10" t="s">
        <v>348</v>
      </c>
      <c r="D7" s="64" t="str">
        <f aca="false">Baseline!D119</f>
        <v>SSD</v>
      </c>
      <c r="Q7" s="1" t="s">
        <v>39</v>
      </c>
      <c r="R7" s="1" t="n">
        <f aca="false">SUMIFS(Input!$E:$E,Input!$D:$D,"Pengeluaran",Input!$H:$H,"Yes",Input!$F:$F,Q7,Input!$C:$C,"&gt;="&amp;$C$3,Input!$C:$C,"&lt;="&amp;$B$3)</f>
        <v>0</v>
      </c>
    </row>
    <row r="8" customFormat="false" ht="13.5" hidden="false" customHeight="true" outlineLevel="0" collapsed="false">
      <c r="B8" s="10" t="s">
        <v>349</v>
      </c>
      <c r="D8" s="42" t="str">
        <f aca="false">Baseline!D120</f>
        <v>SSD (40) &gt; CHD (32) &gt; ESD (24) &gt; RVD (16)</v>
      </c>
      <c r="E8" s="42"/>
      <c r="F8" s="42"/>
      <c r="G8" s="42"/>
      <c r="H8" s="42"/>
      <c r="I8" s="42"/>
      <c r="Q8" s="1" t="s">
        <v>44</v>
      </c>
      <c r="R8" s="1" t="n">
        <f aca="false">SUMIFS(Input!$E:$E,Input!$D:$D,"Pengeluaran",Input!$H:$H,"Yes",Input!$F:$F,Q8,Input!$C:$C,"&gt;="&amp;$C$3,Input!$C:$C,"&lt;="&amp;$B$3)</f>
        <v>174000</v>
      </c>
    </row>
    <row r="9" customFormat="false" ht="13.5" hidden="false" customHeight="true" outlineLevel="0" collapsed="false">
      <c r="B9" s="10" t="s">
        <v>350</v>
      </c>
      <c r="D9" s="1" t="str">
        <f aca="false">IF(Baseline!D119="CHD",Baseline!D69,IF(Baseline!D119="RVD",Baseline!D83,IF(Baseline!D119="SSD",Baseline!D97,Baseline!D111)))</f>
        <v>Severe Dysregulation</v>
      </c>
      <c r="Q9" s="1" t="s">
        <v>54</v>
      </c>
      <c r="R9" s="1" t="n">
        <f aca="false">SUMIFS(Input!$E:$E,Input!$D:$D,"Pengeluaran",Input!$H:$H,"Yes",Input!$F:$F,Q9,Input!$C:$C,"&gt;="&amp;$C$3,Input!$C:$C,"&lt;="&amp;$B$3)</f>
        <v>1016840</v>
      </c>
    </row>
    <row r="10" customFormat="false" ht="13.5" hidden="false" customHeight="true" outlineLevel="0" collapsed="false">
      <c r="B10" s="10" t="s">
        <v>351</v>
      </c>
      <c r="D10" s="22" t="n">
        <f aca="false">Baseline!C5</f>
        <v>46113</v>
      </c>
      <c r="Q10" s="1" t="s">
        <v>66</v>
      </c>
      <c r="R10" s="1" t="n">
        <f aca="false">SUMIFS(Input!$E:$E,Input!$D:$D,"Pengeluaran",Input!$H:$H,"Yes",Input!$F:$F,Q10,Input!$C:$C,"&gt;="&amp;$C$3,Input!$C:$C,"&lt;="&amp;$B$3)</f>
        <v>0</v>
      </c>
    </row>
    <row r="11" customFormat="false" ht="12" hidden="false" customHeight="true" outlineLevel="0" collapsed="false">
      <c r="Q11" s="1" t="s">
        <v>73</v>
      </c>
      <c r="R11" s="1" t="n">
        <f aca="false">SUMIFS(Input!$E:$E,Input!$D:$D,"Pengeluaran",Input!$H:$H,"Yes",Input!$F:$F,Q11,Input!$C:$C,"&gt;="&amp;$C$3,Input!$C:$C,"&lt;="&amp;$B$3)</f>
        <v>813145</v>
      </c>
    </row>
    <row r="12" customFormat="false" ht="19.5" hidden="false" customHeight="true" outlineLevel="0" collapsed="false">
      <c r="B12" s="45" t="s">
        <v>352</v>
      </c>
      <c r="C12" s="46"/>
      <c r="D12" s="46"/>
      <c r="E12" s="46"/>
      <c r="G12" s="45" t="s">
        <v>353</v>
      </c>
      <c r="H12" s="46"/>
      <c r="I12" s="46"/>
      <c r="J12" s="46"/>
      <c r="Q12" s="1" t="s">
        <v>82</v>
      </c>
      <c r="R12" s="1" t="n">
        <f aca="false">SUMIFS(Input!$E:$E,Input!$D:$D,"Pengeluaran",Input!$H:$H,"Yes",Input!$F:$F,Q12,Input!$C:$C,"&gt;="&amp;$C$3,Input!$C:$C,"&lt;="&amp;$B$3)</f>
        <v>0</v>
      </c>
    </row>
    <row r="13" customFormat="false" ht="13.5" hidden="false" customHeight="true" outlineLevel="0" collapsed="false">
      <c r="B13" s="10" t="s">
        <v>354</v>
      </c>
      <c r="C13" s="10" t="s">
        <v>355</v>
      </c>
      <c r="D13" s="10" t="s">
        <v>333</v>
      </c>
      <c r="G13" s="10" t="s">
        <v>356</v>
      </c>
      <c r="H13" s="10" t="s">
        <v>357</v>
      </c>
      <c r="I13" s="10" t="s">
        <v>358</v>
      </c>
      <c r="Q13" s="1" t="s">
        <v>101</v>
      </c>
      <c r="R13" s="1" t="n">
        <f aca="false">SUMIFS(Input!$E:$E,Input!$D:$D,"Pengeluaran",Input!$H:$H,"Yes",Input!$F:$F,Q13,Input!$C:$C,"&gt;="&amp;$C$3,Input!$C:$C,"&lt;="&amp;$B$3)</f>
        <v>0</v>
      </c>
    </row>
    <row r="14" customFormat="false" ht="12" hidden="false" customHeight="true" outlineLevel="0" collapsed="false">
      <c r="B14" s="54" t="s">
        <v>55</v>
      </c>
      <c r="C14" s="54" t="n">
        <f aca="false">COUNTIFS(Input!$I:$I,B14,Input!$D:$D,"Pengeluaran",Input!$C:$C,"&gt;="&amp;$C$3,Input!$C:$C,"&lt;="&amp;$B$3)</f>
        <v>38</v>
      </c>
      <c r="D14" s="56" t="n">
        <f aca="false">IF(SUM($C$14:$C$19)=0,0,C14/SUM($C$14:$C$19))</f>
        <v>0.31404958677686</v>
      </c>
      <c r="G14" s="54" t="s">
        <v>21</v>
      </c>
      <c r="H14" s="54" t="n">
        <f aca="false">COUNTIFS(Input!$G:$G,G14,Input!$D:$D,"Pengeluaran",Input!$C:$C,"&gt;="&amp;$C$3,Input!$C:$C,"&lt;="&amp;$B$3)</f>
        <v>83</v>
      </c>
      <c r="I14" s="56" t="n">
        <f aca="false">IF(SUM($H$14:$H$15)=0,0,H14/SUM($H$14:$H$15))</f>
        <v>0.685950413223141</v>
      </c>
      <c r="Q14" s="1" t="s">
        <v>114</v>
      </c>
      <c r="R14" s="1" t="n">
        <f aca="false">SUMIFS(Input!$E:$E,Input!$D:$D,"Pengeluaran",Input!$H:$H,"Yes",Input!$F:$F,Q14,Input!$C:$C,"&gt;="&amp;$C$3,Input!$C:$C,"&lt;="&amp;$B$3)</f>
        <v>0</v>
      </c>
    </row>
    <row r="15" customFormat="false" ht="12" hidden="false" customHeight="true" outlineLevel="0" collapsed="false">
      <c r="B15" s="54" t="s">
        <v>22</v>
      </c>
      <c r="C15" s="54" t="n">
        <f aca="false">COUNTIFS(Input!$I:$I,B15,Input!$D:$D,"Pengeluaran",Input!$C:$C,"&gt;="&amp;$C$3,Input!$C:$C,"&lt;="&amp;$B$3)</f>
        <v>60</v>
      </c>
      <c r="D15" s="56" t="n">
        <f aca="false">IF(SUM($C$14:$C$19)=0,0,C15/SUM($C$14:$C$19))</f>
        <v>0.495867768595041</v>
      </c>
      <c r="G15" s="54" t="s">
        <v>41</v>
      </c>
      <c r="H15" s="54" t="n">
        <f aca="false">COUNTIFS(Input!$G:$G,G15,Input!$D:$D,"Pengeluaran",Input!$C:$C,"&gt;="&amp;$C$3,Input!$C:$C,"&lt;="&amp;$B$3)</f>
        <v>38</v>
      </c>
      <c r="I15" s="56" t="n">
        <f aca="false">IF(SUM($H$14:$H$15)=0,0,H15/SUM($H$14:$H$15))</f>
        <v>0.31404958677686</v>
      </c>
      <c r="Q15" s="1" t="s">
        <v>123</v>
      </c>
      <c r="R15" s="1" t="n">
        <f aca="false">SUMIFS(Input!$E:$E,Input!$D:$D,"Pengeluaran",Input!$H:$H,"Yes",Input!$F:$F,Q15,Input!$C:$C,"&gt;="&amp;$C$3,Input!$C:$C,"&lt;="&amp;$B$3)</f>
        <v>0</v>
      </c>
    </row>
    <row r="16" customFormat="false" ht="12" hidden="false" customHeight="true" outlineLevel="0" collapsed="false">
      <c r="B16" s="54" t="s">
        <v>57</v>
      </c>
      <c r="C16" s="54" t="n">
        <f aca="false">COUNTIFS(Input!$I:$I,B16,Input!$D:$D,"Pengeluaran",Input!$C:$C,"&gt;="&amp;$C$3,Input!$C:$C,"&lt;="&amp;$B$3)</f>
        <v>2</v>
      </c>
      <c r="D16" s="56" t="n">
        <f aca="false">IF(SUM($C$14:$C$19)=0,0,C16/SUM($C$14:$C$19))</f>
        <v>0.0165289256198347</v>
      </c>
      <c r="Q16" s="1" t="s">
        <v>128</v>
      </c>
      <c r="R16" s="1" t="n">
        <f aca="false">SUMIFS(Input!$E:$E,Input!$D:$D,"Pengeluaran",Input!$H:$H,"Yes",Input!$F:$F,Q16,Input!$C:$C,"&gt;="&amp;$C$3,Input!$C:$C,"&lt;="&amp;$B$3)</f>
        <v>0</v>
      </c>
    </row>
    <row r="17" customFormat="false" ht="12" hidden="false" customHeight="true" outlineLevel="0" collapsed="false">
      <c r="B17" s="54" t="s">
        <v>31</v>
      </c>
      <c r="C17" s="54" t="n">
        <f aca="false">COUNTIFS(Input!$I:$I,B17,Input!$D:$D,"Pengeluaran",Input!$C:$C,"&gt;="&amp;$C$3,Input!$C:$C,"&lt;="&amp;$B$3)</f>
        <v>9</v>
      </c>
      <c r="D17" s="56" t="n">
        <f aca="false">IF(SUM($C$14:$C$19)=0,0,C17/SUM($C$14:$C$19))</f>
        <v>0.0743801652892562</v>
      </c>
      <c r="Q17" s="1" t="s">
        <v>134</v>
      </c>
      <c r="R17" s="1" t="n">
        <f aca="false">SUMIFS(Input!$E:$E,Input!$D:$D,"Pengeluaran",Input!$H:$H,"Yes",Input!$F:$F,Q17,Input!$C:$C,"&gt;="&amp;$C$3,Input!$C:$C,"&lt;="&amp;$B$3)</f>
        <v>0</v>
      </c>
    </row>
    <row r="18" customFormat="false" ht="12" hidden="false" customHeight="true" outlineLevel="0" collapsed="false">
      <c r="B18" s="54" t="s">
        <v>83</v>
      </c>
      <c r="C18" s="54" t="n">
        <f aca="false">COUNTIFS(Input!$I:$I,B18,Input!$D:$D,"Pengeluaran",Input!$C:$C,"&gt;="&amp;$C$3,Input!$C:$C,"&lt;="&amp;$B$3)</f>
        <v>2</v>
      </c>
      <c r="D18" s="56" t="n">
        <f aca="false">IF(SUM($C$14:$C$19)=0,0,C18/SUM($C$14:$C$19))</f>
        <v>0.0165289256198347</v>
      </c>
      <c r="Q18" s="1" t="s">
        <v>139</v>
      </c>
      <c r="R18" s="1" t="n">
        <f aca="false">SUMIFS(Input!$E:$E,Input!$D:$D,"Pengeluaran",Input!$H:$H,"Yes",Input!$F:$F,Q18,Input!$C:$C,"&gt;="&amp;$C$3,Input!$C:$C,"&lt;="&amp;$B$3)</f>
        <v>0</v>
      </c>
    </row>
    <row r="19" customFormat="false" ht="12" hidden="false" customHeight="true" outlineLevel="0" collapsed="false">
      <c r="B19" s="54" t="s">
        <v>42</v>
      </c>
      <c r="C19" s="54" t="n">
        <f aca="false">COUNTIFS(Input!$I:$I,B19,Input!$D:$D,"Pengeluaran",Input!$C:$C,"&gt;="&amp;$C$3,Input!$C:$C,"&lt;="&amp;$B$3)</f>
        <v>10</v>
      </c>
      <c r="D19" s="56" t="n">
        <f aca="false">IF(SUM($C$14:$C$19)=0,0,C19/SUM($C$14:$C$19))</f>
        <v>0.0826446280991736</v>
      </c>
      <c r="Q19" s="1" t="s">
        <v>151</v>
      </c>
      <c r="R19" s="1" t="n">
        <f aca="false">SUMIFS(Input!$E:$E,Input!$D:$D,"Pengeluaran",Input!$H:$H,"Yes",Input!$F:$F,Q19,Input!$C:$C,"&gt;="&amp;$C$3,Input!$C:$C,"&lt;="&amp;$B$3)</f>
        <v>500000</v>
      </c>
    </row>
    <row r="20" customFormat="false" ht="12" hidden="false" customHeight="true" outlineLevel="0" collapsed="false">
      <c r="Q20" s="1" t="s">
        <v>157</v>
      </c>
      <c r="R20" s="1" t="n">
        <f aca="false">SUMIFS(Input!$E:$E,Input!$D:$D,"Pengeluaran",Input!$H:$H,"Yes",Input!$F:$F,Q20,Input!$C:$C,"&gt;="&amp;$C$3,Input!$C:$C,"&lt;="&amp;$B$3)</f>
        <v>0</v>
      </c>
    </row>
    <row r="21" customFormat="false" ht="19.5" hidden="false" customHeight="true" outlineLevel="0" collapsed="false">
      <c r="B21" s="45" t="s">
        <v>359</v>
      </c>
      <c r="C21" s="46"/>
      <c r="D21" s="46"/>
      <c r="E21" s="46"/>
      <c r="F21" s="46"/>
      <c r="G21" s="46"/>
      <c r="H21" s="46"/>
      <c r="I21" s="46"/>
      <c r="Q21" s="1" t="s">
        <v>113</v>
      </c>
      <c r="R21" s="1" t="n">
        <f aca="false">SUMIFS(Input!$E:$E,Input!$D:$D,"Pengeluaran",Input!$H:$H,"Yes",Input!$F:$F,Q21,Input!$C:$C,"&gt;="&amp;$C$3,Input!$C:$C,"&lt;="&amp;$B$3)</f>
        <v>0</v>
      </c>
    </row>
    <row r="22" customFormat="false" ht="12" hidden="false" customHeight="true" outlineLevel="0" collapsed="false">
      <c r="B22" s="47" t="s">
        <v>360</v>
      </c>
      <c r="D22" s="47" t="s">
        <v>361</v>
      </c>
      <c r="F22" s="47" t="s">
        <v>362</v>
      </c>
      <c r="H22" s="47" t="s">
        <v>363</v>
      </c>
    </row>
    <row r="23" customFormat="false" ht="19.5" hidden="false" customHeight="true" outlineLevel="0" collapsed="false">
      <c r="B23" s="17" t="n">
        <f aca="false">COUNTIFS(Input!$H:$H,"Yes",Input!$D:$D,"Pengeluaran",Input!$C:$C,"&gt;="&amp;$C$3,Input!$C:$C,"&lt;="&amp;$B$3)</f>
        <v>36</v>
      </c>
      <c r="D23" s="50" t="n">
        <f aca="false">SUMIFS(Input!$E:$E,Input!$H:$H,"Yes",Input!$D:$D,"Pengeluaran",Input!$C:$C,"&gt;="&amp;$C$3,Input!$C:$C,"&lt;="&amp;$B$3)</f>
        <v>3851542</v>
      </c>
      <c r="F23" s="51" t="n">
        <f aca="false">IFERROR(B23/COUNTIFS(Input!$D:$D,"Pengeluaran",Input!$C:$C,"&gt;="&amp;$C$3,Input!$C:$C,"&lt;="&amp;$B$3),0)</f>
        <v>0.297520661157025</v>
      </c>
      <c r="H23" s="65" t="str">
        <f aca="false">IFERROR(INDEX($Q$2:$Q$21,MATCH(MAX($R$2:$R$21),$R$2:$R$21,0)),"-")</f>
        <v>Makanan</v>
      </c>
    </row>
    <row r="25" customFormat="false" ht="19.5" hidden="false" customHeight="true" outlineLevel="0" collapsed="false">
      <c r="B25" s="45" t="s">
        <v>364</v>
      </c>
      <c r="C25" s="46"/>
      <c r="D25" s="46"/>
      <c r="E25" s="46"/>
      <c r="F25" s="46"/>
      <c r="G25" s="46"/>
    </row>
    <row r="26" customFormat="false" ht="13.5" hidden="false" customHeight="true" outlineLevel="0" collapsed="false">
      <c r="B26" s="10" t="s">
        <v>354</v>
      </c>
      <c r="C26" s="10" t="s">
        <v>365</v>
      </c>
      <c r="D26" s="10" t="s">
        <v>366</v>
      </c>
      <c r="E26" s="10" t="s">
        <v>367</v>
      </c>
      <c r="F26" s="10" t="s">
        <v>368</v>
      </c>
    </row>
    <row r="27" customFormat="false" ht="12" hidden="false" customHeight="true" outlineLevel="0" collapsed="false">
      <c r="B27" s="54" t="s">
        <v>55</v>
      </c>
      <c r="C27" s="54" t="n">
        <f aca="false">COUNTIFS(Input!$I:$I,B27,Input!$D:$D,"Pengeluaran",Input!$C:$C,"&gt;="&amp;$C$3,Input!$C:$C,"&lt;="&amp;$B$3)</f>
        <v>38</v>
      </c>
      <c r="D27" s="55" t="n">
        <f aca="false">SUMIFS(Input!$E:$E,Input!$I:$I,B27,Input!$D:$D,"Pengeluaran",Input!$C:$C,"&gt;="&amp;$C$3,Input!$C:$C,"&lt;="&amp;$B$3)</f>
        <v>5268941</v>
      </c>
      <c r="E27" s="55" t="n">
        <f aca="false">IFERROR(D27/C27,0)</f>
        <v>138656.342105263</v>
      </c>
      <c r="F27" s="56" t="n">
        <f aca="false">IFERROR(COUNTIFS(Input!$I:$I,B27,Input!$H:$H,"Yes",Input!$D:$D,"Pengeluaran",Input!$C:$C,"&gt;"&amp;$C$3,Input!$C:$C,"&lt;"&amp;$B$3)/C27,0)</f>
        <v>0.368421052631579</v>
      </c>
    </row>
    <row r="28" customFormat="false" ht="12" hidden="false" customHeight="true" outlineLevel="0" collapsed="false">
      <c r="B28" s="54" t="s">
        <v>22</v>
      </c>
      <c r="C28" s="54" t="n">
        <f aca="false">COUNTIFS(Input!$I:$I,B28,Input!$D:$D,"Pengeluaran",Input!$C:$C,"&gt;="&amp;$C$3,Input!$C:$C,"&lt;="&amp;$B$3)</f>
        <v>60</v>
      </c>
      <c r="D28" s="55" t="n">
        <f aca="false">SUMIFS(Input!$E:$E,Input!$I:$I,B28,Input!$D:$D,"Pengeluaran",Input!$C:$C,"&gt;="&amp;$C$3,Input!$C:$C,"&lt;="&amp;$B$3)</f>
        <v>8583499</v>
      </c>
      <c r="E28" s="55" t="n">
        <f aca="false">IFERROR(D28/C28,0)</f>
        <v>143058.316666667</v>
      </c>
      <c r="F28" s="56" t="n">
        <f aca="false">IFERROR(COUNTIFS(Input!$I:$I,B28,Input!$H:$H,"Yes",Input!$D:$D,"Pengeluaran",Input!$C:$C,"&gt;"&amp;$C$3,Input!$C:$C,"&lt;"&amp;$B$3)/C28,0)</f>
        <v>0.0666666666666667</v>
      </c>
    </row>
    <row r="29" customFormat="false" ht="12" hidden="false" customHeight="true" outlineLevel="0" collapsed="false">
      <c r="B29" s="54" t="s">
        <v>57</v>
      </c>
      <c r="C29" s="54" t="n">
        <f aca="false">COUNTIFS(Input!$I:$I,B29,Input!$D:$D,"Pengeluaran",Input!$C:$C,"&gt;="&amp;$C$3,Input!$C:$C,"&lt;="&amp;$B$3)</f>
        <v>2</v>
      </c>
      <c r="D29" s="55" t="n">
        <f aca="false">SUMIFS(Input!$E:$E,Input!$I:$I,B29,Input!$D:$D,"Pengeluaran",Input!$C:$C,"&gt;="&amp;$C$3,Input!$C:$C,"&lt;="&amp;$B$3)</f>
        <v>3647629</v>
      </c>
      <c r="E29" s="55" t="n">
        <f aca="false">IFERROR(D29/C29,0)</f>
        <v>1823814.5</v>
      </c>
      <c r="F29" s="56" t="n">
        <f aca="false">IFERROR(COUNTIFS(Input!$I:$I,B29,Input!$H:$H,"Yes",Input!$D:$D,"Pengeluaran",Input!$C:$C,"&gt;"&amp;$C$3,Input!$C:$C,"&lt;"&amp;$B$3)/C29,0)</f>
        <v>0.5</v>
      </c>
    </row>
    <row r="30" customFormat="false" ht="12" hidden="false" customHeight="true" outlineLevel="0" collapsed="false">
      <c r="B30" s="54" t="s">
        <v>31</v>
      </c>
      <c r="C30" s="54" t="n">
        <f aca="false">COUNTIFS(Input!$I:$I,B30,Input!$D:$D,"Pengeluaran",Input!$C:$C,"&gt;="&amp;$C$3,Input!$C:$C,"&lt;="&amp;$B$3)</f>
        <v>9</v>
      </c>
      <c r="D30" s="55" t="n">
        <f aca="false">SUMIFS(Input!$E:$E,Input!$I:$I,B30,Input!$D:$D,"Pengeluaran",Input!$C:$C,"&gt;="&amp;$C$3,Input!$C:$C,"&lt;="&amp;$B$3)</f>
        <v>1037128</v>
      </c>
      <c r="E30" s="55" t="n">
        <f aca="false">IFERROR(D30/C30,0)</f>
        <v>115236.444444444</v>
      </c>
      <c r="F30" s="56" t="n">
        <f aca="false">IFERROR(COUNTIFS(Input!$I:$I,B30,Input!$H:$H,"Yes",Input!$D:$D,"Pengeluaran",Input!$C:$C,"&gt;"&amp;$C$3,Input!$C:$C,"&lt;"&amp;$B$3)/C30,0)</f>
        <v>0.666666666666667</v>
      </c>
    </row>
    <row r="31" customFormat="false" ht="12" hidden="false" customHeight="true" outlineLevel="0" collapsed="false">
      <c r="B31" s="54" t="s">
        <v>83</v>
      </c>
      <c r="C31" s="54" t="n">
        <f aca="false">COUNTIFS(Input!$I:$I,B31,Input!$D:$D,"Pengeluaran",Input!$C:$C,"&gt;="&amp;$C$3,Input!$C:$C,"&lt;="&amp;$B$3)</f>
        <v>2</v>
      </c>
      <c r="D31" s="55" t="n">
        <f aca="false">SUMIFS(Input!$E:$E,Input!$I:$I,B31,Input!$D:$D,"Pengeluaran",Input!$C:$C,"&gt;="&amp;$C$3,Input!$C:$C,"&lt;="&amp;$B$3)</f>
        <v>6390000</v>
      </c>
      <c r="E31" s="55" t="n">
        <f aca="false">IFERROR(D31/C31,0)</f>
        <v>3195000</v>
      </c>
      <c r="F31" s="56" t="n">
        <f aca="false">IFERROR(COUNTIFS(Input!$I:$I,B31,Input!$H:$H,"Yes",Input!$D:$D,"Pengeluaran",Input!$C:$C,"&gt;"&amp;$C$3,Input!$C:$C,"&lt;"&amp;$B$3)/C31,0)</f>
        <v>0</v>
      </c>
    </row>
    <row r="32" customFormat="false" ht="12" hidden="false" customHeight="true" outlineLevel="0" collapsed="false">
      <c r="B32" s="54" t="s">
        <v>42</v>
      </c>
      <c r="C32" s="54" t="n">
        <f aca="false">COUNTIFS(Input!$I:$I,B32,Input!$D:$D,"Pengeluaran",Input!$C:$C,"&gt;="&amp;$C$3,Input!$C:$C,"&lt;="&amp;$B$3)</f>
        <v>10</v>
      </c>
      <c r="D32" s="55" t="n">
        <f aca="false">SUMIFS(Input!$E:$E,Input!$I:$I,B32,Input!$D:$D,"Pengeluaran",Input!$C:$C,"&gt;="&amp;$C$3,Input!$C:$C,"&lt;="&amp;$B$3)</f>
        <v>368040</v>
      </c>
      <c r="E32" s="55" t="n">
        <f aca="false">IFERROR(D32/C32,0)</f>
        <v>36804</v>
      </c>
      <c r="F32" s="56" t="n">
        <f aca="false">IFERROR(COUNTIFS(Input!$I:$I,B32,Input!$H:$H,"Yes",Input!$D:$D,"Pengeluaran",Input!$C:$C,"&gt;"&amp;$C$3,Input!$C:$C,"&lt;"&amp;$B$3)/C32,0)</f>
        <v>1</v>
      </c>
    </row>
    <row r="34" customFormat="false" ht="19.5" hidden="false" customHeight="true" outlineLevel="0" collapsed="false">
      <c r="B34" s="45" t="s">
        <v>369</v>
      </c>
      <c r="C34" s="46"/>
      <c r="D34" s="46"/>
      <c r="E34" s="46"/>
      <c r="F34" s="46"/>
      <c r="G34" s="46"/>
      <c r="H34" s="46"/>
      <c r="I34" s="46"/>
      <c r="J34" s="46"/>
    </row>
    <row r="35" customFormat="false" ht="12" hidden="false" customHeight="true" outlineLevel="0" collapsed="false">
      <c r="B35" s="42" t="str">
        <f aca="false">"Sebagian besar transaksi impulsif terjadi saat mood "&amp;INDEX(B27:B32,MATCH(MAX(F27:F32),F27:F32,0))&amp;" ("&amp;TEXT(MAX(F27:F32),"0%")&amp;" dari transaksi saat mood itu bersifat impulsif)."</f>
        <v>Sebagian besar transaksi impulsif terjadi saat mood Tired (100% dari transaksi saat mood itu bersifat impulsif).</v>
      </c>
      <c r="C35" s="42"/>
      <c r="D35" s="42"/>
      <c r="E35" s="42"/>
      <c r="F35" s="42"/>
      <c r="G35" s="42"/>
      <c r="H35" s="42"/>
      <c r="I35" s="42"/>
    </row>
    <row r="36" customFormat="false" ht="12" hidden="false" customHeight="true" outlineLevel="0" collapsed="false">
      <c r="B36" s="42" t="str">
        <f aca="false">"Saat mood "&amp;INDEX(B27:B32,MATCH(MAX(E27:E32),E27:E32,0))&amp;", rata-rata nominal transaksi meningkat menjadi Rp"&amp;TEXT(MAX(E27:E32),"#,##0")&amp;" per transaksi — tertinggi dibanding mood lain."</f>
        <v>Saat mood Angry, rata-rata nominal transaksi meningkat menjadi Rp3,195,000 per transaksi — tertinggi dibanding mood lain.</v>
      </c>
      <c r="C36" s="42"/>
      <c r="D36" s="42"/>
      <c r="E36" s="42"/>
      <c r="F36" s="42"/>
      <c r="G36" s="42"/>
      <c r="H36" s="42"/>
      <c r="I36" s="42"/>
    </row>
    <row r="37" customFormat="false" ht="12" hidden="false" customHeight="true" outlineLevel="0" collapsed="false">
      <c r="B37" s="42" t="str">
        <f aca="false">"Mood "&amp;INDEX(B27:B32,MATCH(MAX(C27:C32),C27:C32,0))&amp;" paling sering menyertai transaksi ("&amp;MAX(C27:C32)&amp;" transaksi pada periode ini)."</f>
        <v>Mood Neutral paling sering menyertai transaksi (60 transaksi pada periode ini).</v>
      </c>
      <c r="C37" s="42"/>
      <c r="D37" s="42"/>
      <c r="E37" s="42"/>
      <c r="F37" s="42"/>
      <c r="G37" s="42"/>
      <c r="H37" s="42"/>
      <c r="I37" s="42"/>
    </row>
    <row r="39" customFormat="false" ht="19.5" hidden="false" customHeight="true" outlineLevel="0" collapsed="false">
      <c r="B39" s="45" t="s">
        <v>370</v>
      </c>
      <c r="C39" s="46"/>
      <c r="D39" s="46"/>
      <c r="E39" s="46"/>
      <c r="F39" s="46"/>
      <c r="G39" s="46"/>
      <c r="H39" s="46"/>
      <c r="I39" s="46"/>
      <c r="J39" s="46"/>
    </row>
    <row r="40" customFormat="false" ht="13.5" hidden="false" customHeight="true" outlineLevel="0" collapsed="false">
      <c r="B40" s="10" t="s">
        <v>371</v>
      </c>
      <c r="D40" s="1" t="str">
        <f aca="false">D6</f>
        <v>Sudah FTSA</v>
      </c>
    </row>
    <row r="41" customFormat="false" ht="30" hidden="false" customHeight="true" outlineLevel="0" collapsed="false">
      <c r="B41" s="42" t="str">
        <f aca="false">IF(D40="Belum FTSA","Perhatikan pengeluaran saat mood "&amp;INDEX(B27:B32,MATCH(MAX(F27:F32),F27:F32,0))&amp;" — siapkan alternatif lebih hemat (mis. cooling-off 24 jam sebelum beli) untuk kategori "&amp;H23&amp;" saat energi/emosi sedang rendah.",IF(Baseline!$D$119="CHD","Personalized (Controller): batasi cek portofolio/keuangan maksimal 1x/minggu, gunakan sistem auto-invest, dan latih toleransi terhadap ketidakpastian finansial.",IF(Baseline!$D$119="RVD","Personalized (Avoider): lakukan review keuangan 15 menit/minggu, mulai investasi nominal kecil secara rutin, dan cari accountability partner untuk diskusi keuangan.",IF(Baseline!$D$119="SSD","Personalized (Overworker): tetapkan angka cukup (enough number), jadwalkan hari tanpa bekerja, dan mulai bangun passive income agar keamanan tidak hanya bersumber dari produktivitas.","Personalized (Impulsive): terapkan cooling-off 24 jam sebelum membeli barang non-esensial, gunakan cash envelope untuk pengeluaran fleksibel, dan bangun reward non-monetary sebagai pengganti belanja emosional."))))</f>
        <v>Personalized (Overworker): tetapkan angka cukup (enough number), jadwalkan hari tanpa bekerja, dan mulai bangun passive income agar keamanan tidak hanya bersumber dari produktivitas.</v>
      </c>
      <c r="C41" s="42"/>
      <c r="D41" s="42"/>
      <c r="E41" s="42"/>
      <c r="F41" s="42"/>
      <c r="G41" s="42"/>
      <c r="H41" s="42"/>
      <c r="I41" s="42"/>
    </row>
    <row r="42" customFormat="false" ht="12" hidden="false" customHeight="true" outlineLevel="0" collapsed="false"/>
    <row r="43" customFormat="false" ht="12" hidden="false" customHeight="true" outlineLevel="0" collapsed="false"/>
    <row r="44" customFormat="false" ht="12" hidden="false" customHeight="true" outlineLevel="0" collapsed="false"/>
    <row r="45" customFormat="false" ht="12" hidden="false" customHeight="true" outlineLevel="0" collapsed="false"/>
    <row r="46" customFormat="false" ht="12" hidden="false" customHeight="true" outlineLevel="0" collapsed="false"/>
    <row r="47" customFormat="false" ht="12" hidden="false" customHeight="true" outlineLevel="0" collapsed="false"/>
    <row r="48" customFormat="false" ht="12" hidden="false" customHeight="true" outlineLevel="0" collapsed="false"/>
    <row r="49" customFormat="false" ht="12" hidden="false" customHeight="true" outlineLevel="0" collapsed="false"/>
    <row r="50" customFormat="false" ht="12" hidden="false" customHeight="true" outlineLevel="0" collapsed="false"/>
    <row r="51" customFormat="false" ht="12" hidden="false" customHeight="true" outlineLevel="0" collapsed="false"/>
    <row r="52" customFormat="false" ht="12" hidden="false" customHeight="true" outlineLevel="0" collapsed="false"/>
    <row r="53" customFormat="false" ht="12" hidden="false" customHeight="true" outlineLevel="0" collapsed="false"/>
    <row r="54" customFormat="false" ht="12" hidden="false" customHeight="true" outlineLevel="0" collapsed="false"/>
    <row r="55" customFormat="false" ht="12" hidden="false" customHeight="true" outlineLevel="0" collapsed="false"/>
    <row r="56" customFormat="false" ht="12" hidden="false" customHeight="true" outlineLevel="0" collapsed="false"/>
    <row r="57" customFormat="false" ht="12" hidden="false" customHeight="true" outlineLevel="0" collapsed="false"/>
    <row r="58" customFormat="false" ht="12" hidden="false" customHeight="true" outlineLevel="0" collapsed="false"/>
    <row r="59" customFormat="false" ht="12" hidden="false" customHeight="true" outlineLevel="0" collapsed="false"/>
    <row r="60" customFormat="false" ht="12" hidden="false" customHeight="true" outlineLevel="0" collapsed="false"/>
    <row r="61" customFormat="false" ht="12" hidden="false" customHeight="true" outlineLevel="0" collapsed="false"/>
    <row r="62" customFormat="false" ht="12" hidden="false" customHeight="true" outlineLevel="0" collapsed="false"/>
    <row r="63" customFormat="false" ht="12" hidden="false" customHeight="true" outlineLevel="0" collapsed="false"/>
    <row r="64" customFormat="false" ht="12" hidden="false" customHeight="true" outlineLevel="0" collapsed="false"/>
    <row r="65" customFormat="false" ht="12" hidden="false" customHeight="true" outlineLevel="0" collapsed="false"/>
    <row r="66" customFormat="false" ht="12" hidden="false" customHeight="true" outlineLevel="0" collapsed="false"/>
    <row r="67" customFormat="false" ht="12" hidden="false" customHeight="true" outlineLevel="0" collapsed="false"/>
    <row r="68" customFormat="false" ht="12" hidden="false" customHeight="true" outlineLevel="0" collapsed="false"/>
    <row r="69" customFormat="false" ht="12" hidden="false" customHeight="true" outlineLevel="0" collapsed="false"/>
    <row r="70" customFormat="false" ht="12" hidden="false" customHeight="true" outlineLevel="0" collapsed="false"/>
    <row r="71" customFormat="false" ht="12" hidden="false" customHeight="true" outlineLevel="0" collapsed="false"/>
    <row r="72" customFormat="false" ht="12" hidden="false" customHeight="true" outlineLevel="0" collapsed="false"/>
    <row r="73" customFormat="false" ht="12" hidden="false" customHeight="true" outlineLevel="0" collapsed="false"/>
    <row r="74" customFormat="false" ht="12" hidden="false" customHeight="true" outlineLevel="0" collapsed="false"/>
    <row r="75" customFormat="false" ht="12" hidden="false" customHeight="true" outlineLevel="0" collapsed="false"/>
    <row r="76" customFormat="false" ht="12" hidden="false" customHeight="true" outlineLevel="0" collapsed="false"/>
  </sheetData>
  <mergeCells count="5">
    <mergeCell ref="D8:I8"/>
    <mergeCell ref="B35:I35"/>
    <mergeCell ref="B36:I36"/>
    <mergeCell ref="B37:I37"/>
    <mergeCell ref="B41:I41"/>
  </mergeCells>
  <dataValidations count="1">
    <dataValidation allowBlank="false" errorStyle="stop" operator="between" showDropDown="false" showErrorMessage="false" showInputMessage="false" sqref="G1" type="list">
      <formula1>"1,3,6,12"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0" width="70"/>
    <col collapsed="false" customWidth="true" hidden="false" outlineLevel="0" max="11" min="7" style="1" width="18"/>
  </cols>
  <sheetData>
    <row r="1" customFormat="false" ht="15" hidden="false" customHeight="true" outlineLevel="0" collapsed="false">
      <c r="A1" s="66" t="s">
        <v>10</v>
      </c>
      <c r="B1" s="66" t="s">
        <v>15</v>
      </c>
      <c r="C1" s="66" t="s">
        <v>356</v>
      </c>
      <c r="D1" s="67" t="s">
        <v>372</v>
      </c>
      <c r="E1" s="68" t="s">
        <v>373</v>
      </c>
      <c r="G1" s="66" t="s">
        <v>374</v>
      </c>
      <c r="H1" s="66" t="s">
        <v>322</v>
      </c>
      <c r="I1" s="66" t="s">
        <v>324</v>
      </c>
      <c r="J1" s="66" t="s">
        <v>326</v>
      </c>
      <c r="K1" s="66" t="s">
        <v>328</v>
      </c>
    </row>
    <row r="2" customFormat="false" ht="15" hidden="false" customHeight="true" outlineLevel="0" collapsed="false">
      <c r="A2" s="1" t="s">
        <v>17</v>
      </c>
      <c r="B2" s="1" t="s">
        <v>375</v>
      </c>
      <c r="C2" s="1" t="s">
        <v>375</v>
      </c>
      <c r="D2" s="0" t="s">
        <v>376</v>
      </c>
      <c r="E2" s="69" t="s">
        <v>377</v>
      </c>
      <c r="G2" s="1" t="s">
        <v>378</v>
      </c>
      <c r="H2" s="70" t="n">
        <v>0.8</v>
      </c>
      <c r="I2" s="70" t="n">
        <v>0.05</v>
      </c>
      <c r="J2" s="70" t="n">
        <v>0.05</v>
      </c>
      <c r="K2" s="70" t="n">
        <v>0.1</v>
      </c>
    </row>
    <row r="3" customFormat="false" ht="15" hidden="false" customHeight="true" outlineLevel="0" collapsed="false">
      <c r="A3" s="1" t="s">
        <v>69</v>
      </c>
      <c r="B3" s="1" t="s">
        <v>375</v>
      </c>
      <c r="C3" s="1" t="s">
        <v>375</v>
      </c>
      <c r="D3" s="0" t="s">
        <v>379</v>
      </c>
      <c r="E3" s="69" t="s">
        <v>380</v>
      </c>
      <c r="G3" s="1" t="s">
        <v>381</v>
      </c>
      <c r="H3" s="70" t="n">
        <v>0.6</v>
      </c>
      <c r="I3" s="70" t="n">
        <v>0.2</v>
      </c>
      <c r="J3" s="70" t="n">
        <v>0.1</v>
      </c>
      <c r="K3" s="70" t="n">
        <v>0.1</v>
      </c>
    </row>
    <row r="4" customFormat="false" ht="15" hidden="false" customHeight="true" outlineLevel="0" collapsed="false">
      <c r="A4" s="1" t="s">
        <v>35</v>
      </c>
      <c r="B4" s="1" t="s">
        <v>375</v>
      </c>
      <c r="C4" s="1" t="s">
        <v>375</v>
      </c>
      <c r="D4" s="0" t="s">
        <v>382</v>
      </c>
      <c r="G4" s="1" t="s">
        <v>197</v>
      </c>
      <c r="H4" s="70" t="n">
        <v>0.5</v>
      </c>
      <c r="I4" s="70" t="n">
        <v>0.3</v>
      </c>
      <c r="J4" s="70" t="n">
        <v>0.1</v>
      </c>
      <c r="K4" s="70" t="n">
        <v>0.1</v>
      </c>
    </row>
    <row r="5" customFormat="false" ht="15" hidden="false" customHeight="true" outlineLevel="0" collapsed="false">
      <c r="A5" s="1" t="s">
        <v>50</v>
      </c>
      <c r="B5" s="1" t="s">
        <v>375</v>
      </c>
      <c r="C5" s="1" t="s">
        <v>375</v>
      </c>
      <c r="D5" s="0" t="s">
        <v>382</v>
      </c>
      <c r="G5" s="1" t="s">
        <v>383</v>
      </c>
      <c r="H5" s="70" t="n">
        <v>0.4</v>
      </c>
      <c r="I5" s="70" t="n">
        <v>0.35</v>
      </c>
      <c r="J5" s="70" t="n">
        <v>0.1</v>
      </c>
      <c r="K5" s="70" t="n">
        <v>0.15</v>
      </c>
    </row>
    <row r="6" customFormat="false" ht="15" hidden="false" customHeight="true" outlineLevel="0" collapsed="false">
      <c r="A6" s="1" t="s">
        <v>20</v>
      </c>
      <c r="B6" s="1" t="s">
        <v>322</v>
      </c>
      <c r="C6" s="1" t="s">
        <v>384</v>
      </c>
      <c r="D6" s="0" t="s">
        <v>385</v>
      </c>
    </row>
    <row r="7" customFormat="false" ht="15" hidden="false" customHeight="true" outlineLevel="0" collapsed="false">
      <c r="A7" s="1" t="s">
        <v>24</v>
      </c>
      <c r="B7" s="1" t="s">
        <v>324</v>
      </c>
      <c r="C7" s="1" t="s">
        <v>384</v>
      </c>
      <c r="D7" s="0" t="s">
        <v>386</v>
      </c>
    </row>
    <row r="8" customFormat="false" ht="15" hidden="false" customHeight="true" outlineLevel="0" collapsed="false">
      <c r="A8" s="1" t="s">
        <v>26</v>
      </c>
      <c r="B8" s="1" t="s">
        <v>328</v>
      </c>
      <c r="C8" s="1" t="s">
        <v>384</v>
      </c>
      <c r="D8" s="0" t="s">
        <v>387</v>
      </c>
    </row>
    <row r="9" customFormat="false" ht="15" hidden="false" customHeight="true" outlineLevel="0" collapsed="false">
      <c r="A9" s="1" t="s">
        <v>28</v>
      </c>
      <c r="B9" s="1" t="s">
        <v>322</v>
      </c>
      <c r="C9" s="1" t="s">
        <v>384</v>
      </c>
      <c r="D9" s="0" t="s">
        <v>388</v>
      </c>
    </row>
    <row r="10" customFormat="false" ht="15" hidden="false" customHeight="true" outlineLevel="0" collapsed="false">
      <c r="A10" s="1" t="s">
        <v>30</v>
      </c>
      <c r="B10" s="1" t="s">
        <v>328</v>
      </c>
      <c r="C10" s="1" t="s">
        <v>384</v>
      </c>
      <c r="D10" s="0" t="s">
        <v>389</v>
      </c>
    </row>
    <row r="11" customFormat="false" ht="15" hidden="false" customHeight="true" outlineLevel="0" collapsed="false">
      <c r="A11" s="1" t="s">
        <v>39</v>
      </c>
      <c r="B11" s="1" t="s">
        <v>324</v>
      </c>
      <c r="C11" s="1" t="s">
        <v>384</v>
      </c>
      <c r="D11" s="0" t="s">
        <v>390</v>
      </c>
    </row>
    <row r="12" customFormat="false" ht="15" hidden="false" customHeight="true" outlineLevel="0" collapsed="false">
      <c r="A12" s="1" t="s">
        <v>44</v>
      </c>
      <c r="B12" s="1" t="s">
        <v>328</v>
      </c>
      <c r="C12" s="1" t="s">
        <v>384</v>
      </c>
      <c r="D12" s="0" t="s">
        <v>391</v>
      </c>
    </row>
    <row r="13" customFormat="false" ht="15" hidden="false" customHeight="true" outlineLevel="0" collapsed="false">
      <c r="A13" s="1" t="s">
        <v>49</v>
      </c>
      <c r="B13" s="1" t="s">
        <v>392</v>
      </c>
      <c r="C13" s="1" t="s">
        <v>393</v>
      </c>
      <c r="D13" s="0" t="s">
        <v>394</v>
      </c>
    </row>
    <row r="14" customFormat="false" ht="15" hidden="false" customHeight="true" outlineLevel="0" collapsed="false">
      <c r="A14" s="1" t="s">
        <v>54</v>
      </c>
      <c r="B14" s="1" t="s">
        <v>322</v>
      </c>
      <c r="C14" s="1" t="s">
        <v>384</v>
      </c>
      <c r="D14" s="0" t="s">
        <v>395</v>
      </c>
    </row>
    <row r="15" customFormat="false" ht="15" hidden="false" customHeight="true" outlineLevel="0" collapsed="false">
      <c r="A15" s="1" t="s">
        <v>66</v>
      </c>
      <c r="B15" s="1" t="s">
        <v>326</v>
      </c>
      <c r="C15" s="1" t="s">
        <v>384</v>
      </c>
      <c r="D15" s="0" t="s">
        <v>396</v>
      </c>
    </row>
    <row r="16" customFormat="false" ht="15" hidden="false" customHeight="true" outlineLevel="0" collapsed="false">
      <c r="A16" s="1" t="s">
        <v>73</v>
      </c>
      <c r="B16" s="1" t="s">
        <v>328</v>
      </c>
      <c r="C16" s="1" t="s">
        <v>384</v>
      </c>
      <c r="D16" s="0" t="s">
        <v>397</v>
      </c>
    </row>
    <row r="17" customFormat="false" ht="15" hidden="false" customHeight="true" outlineLevel="0" collapsed="false">
      <c r="A17" s="1" t="s">
        <v>82</v>
      </c>
      <c r="B17" s="1" t="s">
        <v>324</v>
      </c>
      <c r="C17" s="1" t="s">
        <v>384</v>
      </c>
      <c r="D17" s="0" t="s">
        <v>398</v>
      </c>
    </row>
    <row r="18" customFormat="false" ht="15" hidden="false" customHeight="true" outlineLevel="0" collapsed="false">
      <c r="A18" s="1" t="s">
        <v>101</v>
      </c>
      <c r="B18" s="1" t="s">
        <v>328</v>
      </c>
      <c r="C18" s="1" t="s">
        <v>384</v>
      </c>
      <c r="D18" s="0" t="s">
        <v>399</v>
      </c>
    </row>
    <row r="19" customFormat="false" ht="15" hidden="false" customHeight="true" outlineLevel="0" collapsed="false">
      <c r="A19" s="1" t="s">
        <v>114</v>
      </c>
      <c r="B19" s="1" t="s">
        <v>328</v>
      </c>
      <c r="C19" s="1" t="s">
        <v>384</v>
      </c>
      <c r="D19" s="0" t="s">
        <v>400</v>
      </c>
    </row>
    <row r="20" customFormat="false" ht="15" hidden="false" customHeight="true" outlineLevel="0" collapsed="false">
      <c r="A20" s="1" t="s">
        <v>123</v>
      </c>
      <c r="B20" s="1" t="s">
        <v>322</v>
      </c>
      <c r="C20" s="1" t="s">
        <v>384</v>
      </c>
      <c r="D20" s="0" t="s">
        <v>401</v>
      </c>
    </row>
    <row r="21" customFormat="false" ht="15" hidden="false" customHeight="true" outlineLevel="0" collapsed="false">
      <c r="A21" s="1" t="s">
        <v>128</v>
      </c>
      <c r="B21" s="1" t="s">
        <v>322</v>
      </c>
      <c r="C21" s="1" t="s">
        <v>384</v>
      </c>
      <c r="D21" s="0" t="s">
        <v>402</v>
      </c>
    </row>
    <row r="22" customFormat="false" ht="15" hidden="false" customHeight="true" outlineLevel="0" collapsed="false">
      <c r="A22" s="1" t="s">
        <v>134</v>
      </c>
      <c r="B22" s="1" t="s">
        <v>322</v>
      </c>
      <c r="C22" s="1" t="s">
        <v>384</v>
      </c>
      <c r="D22" s="0" t="s">
        <v>403</v>
      </c>
    </row>
    <row r="23" customFormat="false" ht="15" hidden="false" customHeight="true" outlineLevel="0" collapsed="false">
      <c r="A23" s="1" t="s">
        <v>139</v>
      </c>
      <c r="B23" s="1" t="s">
        <v>322</v>
      </c>
      <c r="C23" s="1" t="s">
        <v>384</v>
      </c>
      <c r="D23" s="0" t="s">
        <v>404</v>
      </c>
    </row>
    <row r="24" customFormat="false" ht="15" hidden="false" customHeight="true" outlineLevel="0" collapsed="false">
      <c r="A24" s="1" t="s">
        <v>151</v>
      </c>
      <c r="B24" s="1" t="s">
        <v>328</v>
      </c>
      <c r="C24" s="1" t="s">
        <v>384</v>
      </c>
      <c r="D24" s="0" t="s">
        <v>405</v>
      </c>
    </row>
    <row r="25" customFormat="false" ht="15" hidden="false" customHeight="true" outlineLevel="0" collapsed="false">
      <c r="A25" s="1" t="s">
        <v>157</v>
      </c>
      <c r="B25" s="1" t="s">
        <v>328</v>
      </c>
      <c r="C25" s="1" t="s">
        <v>384</v>
      </c>
      <c r="D25" s="0" t="s">
        <v>406</v>
      </c>
    </row>
    <row r="26" customFormat="false" ht="15" hidden="false" customHeight="true" outlineLevel="0" collapsed="false">
      <c r="A26" s="1" t="s">
        <v>113</v>
      </c>
      <c r="B26" s="1" t="s">
        <v>322</v>
      </c>
      <c r="C26" s="1" t="s">
        <v>384</v>
      </c>
      <c r="D26" s="0" t="s">
        <v>407</v>
      </c>
    </row>
    <row r="30" customFormat="false" ht="15" hidden="false" customHeight="false" outlineLevel="0" collapsed="false">
      <c r="A30" s="67" t="s">
        <v>408</v>
      </c>
      <c r="B30" s="71"/>
      <c r="C30" s="71"/>
      <c r="D30" s="71"/>
    </row>
    <row r="31" customFormat="false" ht="15" hidden="false" customHeight="false" outlineLevel="0" collapsed="false">
      <c r="A31" s="72" t="s">
        <v>409</v>
      </c>
    </row>
    <row r="32" customFormat="false" ht="15" hidden="false" customHeight="false" outlineLevel="0" collapsed="false">
      <c r="A32" s="73" t="s">
        <v>322</v>
      </c>
      <c r="B32" s="74" t="s">
        <v>410</v>
      </c>
      <c r="C32" s="74"/>
      <c r="D32" s="74"/>
    </row>
    <row r="33" customFormat="false" ht="15" hidden="false" customHeight="false" outlineLevel="0" collapsed="false">
      <c r="A33" s="73" t="s">
        <v>324</v>
      </c>
      <c r="B33" s="74" t="s">
        <v>411</v>
      </c>
      <c r="C33" s="74"/>
      <c r="D33" s="74"/>
    </row>
    <row r="34" customFormat="false" ht="15" hidden="false" customHeight="false" outlineLevel="0" collapsed="false">
      <c r="A34" s="73" t="s">
        <v>326</v>
      </c>
      <c r="B34" s="74" t="s">
        <v>412</v>
      </c>
      <c r="C34" s="74"/>
      <c r="D34" s="74"/>
    </row>
    <row r="35" customFormat="false" ht="15" hidden="false" customHeight="false" outlineLevel="0" collapsed="false">
      <c r="A35" s="73" t="s">
        <v>328</v>
      </c>
      <c r="B35" s="74" t="s">
        <v>412</v>
      </c>
      <c r="C35" s="74"/>
      <c r="D35" s="74"/>
    </row>
    <row r="37" customFormat="false" ht="15" hidden="false" customHeight="false" outlineLevel="0" collapsed="false">
      <c r="A37" s="75" t="s">
        <v>413</v>
      </c>
    </row>
    <row r="38" customFormat="false" ht="15" hidden="false" customHeight="false" outlineLevel="0" collapsed="false">
      <c r="A38" s="74" t="s">
        <v>414</v>
      </c>
      <c r="B38" s="74"/>
      <c r="C38" s="74"/>
      <c r="D38" s="74"/>
    </row>
    <row r="39" customFormat="false" ht="15" hidden="false" customHeight="false" outlineLevel="0" collapsed="false">
      <c r="A39" s="74" t="s">
        <v>415</v>
      </c>
      <c r="B39" s="74"/>
      <c r="C39" s="74"/>
      <c r="D39" s="74"/>
    </row>
    <row r="40" customFormat="false" ht="15" hidden="false" customHeight="false" outlineLevel="0" collapsed="false">
      <c r="A40" s="74" t="s">
        <v>416</v>
      </c>
      <c r="B40" s="74"/>
      <c r="C40" s="74"/>
      <c r="D40" s="74"/>
    </row>
    <row r="41" customFormat="false" ht="15" hidden="false" customHeight="false" outlineLevel="0" collapsed="false">
      <c r="A41" s="74" t="s">
        <v>417</v>
      </c>
      <c r="B41" s="74"/>
      <c r="C41" s="74"/>
      <c r="D41" s="74"/>
    </row>
    <row r="42" customFormat="false" ht="15" hidden="false" customHeight="false" outlineLevel="0" collapsed="false">
      <c r="A42" s="74" t="s">
        <v>418</v>
      </c>
      <c r="B42" s="74"/>
      <c r="C42" s="74"/>
      <c r="D42" s="74"/>
    </row>
    <row r="43" customFormat="false" ht="15" hidden="false" customHeight="false" outlineLevel="0" collapsed="false">
      <c r="A43" s="74" t="s">
        <v>419</v>
      </c>
      <c r="B43" s="74"/>
      <c r="C43" s="74"/>
      <c r="D43" s="74"/>
    </row>
    <row r="44" customFormat="false" ht="15" hidden="false" customHeight="false" outlineLevel="0" collapsed="false">
      <c r="A44" s="74" t="s">
        <v>420</v>
      </c>
      <c r="B44" s="74"/>
      <c r="C44" s="74"/>
      <c r="D44" s="74"/>
    </row>
    <row r="45" customFormat="false" ht="15" hidden="false" customHeight="false" outlineLevel="0" collapsed="false">
      <c r="A45" s="74" t="s">
        <v>421</v>
      </c>
      <c r="B45" s="74"/>
      <c r="C45" s="74"/>
      <c r="D45" s="74"/>
    </row>
    <row r="47" customFormat="false" ht="15" hidden="false" customHeight="false" outlineLevel="0" collapsed="false">
      <c r="A47" s="75" t="s">
        <v>422</v>
      </c>
    </row>
    <row r="48" customFormat="false" ht="15" hidden="false" customHeight="false" outlineLevel="0" collapsed="false">
      <c r="A48" s="74" t="s">
        <v>423</v>
      </c>
      <c r="B48" s="74"/>
      <c r="C48" s="74"/>
      <c r="D48" s="74"/>
    </row>
    <row r="49" customFormat="false" ht="15" hidden="false" customHeight="false" outlineLevel="0" collapsed="false">
      <c r="A49" s="74" t="s">
        <v>424</v>
      </c>
      <c r="B49" s="74"/>
      <c r="C49" s="74"/>
      <c r="D49" s="74"/>
    </row>
    <row r="50" customFormat="false" ht="15" hidden="false" customHeight="false" outlineLevel="0" collapsed="false">
      <c r="A50" s="74" t="s">
        <v>425</v>
      </c>
      <c r="B50" s="74"/>
      <c r="C50" s="74"/>
      <c r="D50" s="74"/>
    </row>
    <row r="51" customFormat="false" ht="15" hidden="false" customHeight="false" outlineLevel="0" collapsed="false">
      <c r="A51" s="74" t="s">
        <v>426</v>
      </c>
      <c r="B51" s="74"/>
      <c r="C51" s="74"/>
      <c r="D51" s="74"/>
    </row>
    <row r="53" customFormat="false" ht="15" hidden="false" customHeight="false" outlineLevel="0" collapsed="false">
      <c r="A53" s="75" t="s">
        <v>427</v>
      </c>
    </row>
    <row r="54" customFormat="false" ht="15" hidden="false" customHeight="false" outlineLevel="0" collapsed="false">
      <c r="A54" s="74" t="s">
        <v>428</v>
      </c>
      <c r="B54" s="74"/>
      <c r="C54" s="74"/>
      <c r="D54" s="74"/>
    </row>
    <row r="55" customFormat="false" ht="15" hidden="false" customHeight="false" outlineLevel="0" collapsed="false">
      <c r="A55" s="74" t="s">
        <v>429</v>
      </c>
      <c r="B55" s="74"/>
      <c r="C55" s="74"/>
      <c r="D55" s="74"/>
    </row>
    <row r="57" customFormat="false" ht="15" hidden="false" customHeight="false" outlineLevel="0" collapsed="false">
      <c r="A57" s="75" t="s">
        <v>430</v>
      </c>
    </row>
    <row r="58" customFormat="false" ht="15" hidden="false" customHeight="false" outlineLevel="0" collapsed="false">
      <c r="A58" s="74" t="s">
        <v>431</v>
      </c>
      <c r="B58" s="74"/>
      <c r="C58" s="74"/>
      <c r="D58" s="74"/>
    </row>
    <row r="59" customFormat="false" ht="15" hidden="false" customHeight="false" outlineLevel="0" collapsed="false">
      <c r="A59" s="74" t="s">
        <v>432</v>
      </c>
      <c r="B59" s="74"/>
      <c r="C59" s="74"/>
      <c r="D59" s="74"/>
    </row>
    <row r="60" customFormat="false" ht="15" hidden="false" customHeight="false" outlineLevel="0" collapsed="false">
      <c r="A60" s="74" t="s">
        <v>433</v>
      </c>
      <c r="B60" s="74"/>
      <c r="C60" s="74"/>
      <c r="D60" s="74"/>
    </row>
    <row r="61" customFormat="false" ht="15" hidden="false" customHeight="false" outlineLevel="0" collapsed="false">
      <c r="A61" s="74" t="s">
        <v>434</v>
      </c>
      <c r="B61" s="74"/>
      <c r="C61" s="74"/>
      <c r="D61" s="74"/>
    </row>
    <row r="62" customFormat="false" ht="15" hidden="false" customHeight="false" outlineLevel="0" collapsed="false">
      <c r="A62" s="74" t="s">
        <v>435</v>
      </c>
      <c r="B62" s="74"/>
      <c r="C62" s="74"/>
      <c r="D62" s="74"/>
    </row>
    <row r="63" customFormat="false" ht="15" hidden="false" customHeight="false" outlineLevel="0" collapsed="false">
      <c r="A63" s="74" t="s">
        <v>436</v>
      </c>
      <c r="B63" s="74"/>
      <c r="C63" s="74"/>
      <c r="D63" s="74"/>
    </row>
    <row r="65" customFormat="false" ht="15" hidden="false" customHeight="false" outlineLevel="0" collapsed="false">
      <c r="A65" s="73" t="s">
        <v>437</v>
      </c>
    </row>
    <row r="66" customFormat="false" ht="15" hidden="false" customHeight="false" outlineLevel="0" collapsed="false">
      <c r="A66" s="74" t="s">
        <v>438</v>
      </c>
      <c r="B66" s="74"/>
      <c r="C66" s="74"/>
      <c r="D66" s="74"/>
    </row>
    <row r="67" customFormat="false" ht="15" hidden="false" customHeight="false" outlineLevel="0" collapsed="false">
      <c r="A67" s="74" t="s">
        <v>439</v>
      </c>
      <c r="B67" s="74"/>
      <c r="C67" s="74"/>
      <c r="D67" s="74"/>
    </row>
    <row r="68" customFormat="false" ht="15" hidden="false" customHeight="false" outlineLevel="0" collapsed="false">
      <c r="A68" s="74" t="s">
        <v>440</v>
      </c>
      <c r="B68" s="74"/>
      <c r="C68" s="74"/>
      <c r="D68" s="74"/>
    </row>
    <row r="69" customFormat="false" ht="15" hidden="false" customHeight="false" outlineLevel="0" collapsed="false">
      <c r="A69" s="74" t="s">
        <v>441</v>
      </c>
      <c r="B69" s="74"/>
      <c r="C69" s="74"/>
      <c r="D69" s="74"/>
    </row>
  </sheetData>
  <mergeCells count="28">
    <mergeCell ref="B32:D32"/>
    <mergeCell ref="B33:D33"/>
    <mergeCell ref="B34:D34"/>
    <mergeCell ref="B35:D35"/>
    <mergeCell ref="A38:D38"/>
    <mergeCell ref="A39:D39"/>
    <mergeCell ref="A40:D40"/>
    <mergeCell ref="A41:D41"/>
    <mergeCell ref="A42:D42"/>
    <mergeCell ref="A43:D43"/>
    <mergeCell ref="A44:D44"/>
    <mergeCell ref="A45:D45"/>
    <mergeCell ref="A48:D48"/>
    <mergeCell ref="A49:D49"/>
    <mergeCell ref="A50:D50"/>
    <mergeCell ref="A51:D51"/>
    <mergeCell ref="A54:D54"/>
    <mergeCell ref="A55:D55"/>
    <mergeCell ref="A58:D58"/>
    <mergeCell ref="A59:D59"/>
    <mergeCell ref="A60:D60"/>
    <mergeCell ref="A61:D61"/>
    <mergeCell ref="A62:D62"/>
    <mergeCell ref="A63:D63"/>
    <mergeCell ref="A66:D66"/>
    <mergeCell ref="A67:D67"/>
    <mergeCell ref="A68:D68"/>
    <mergeCell ref="A69:D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2026-06-26T06:31:53Z</dcterms:created>
  <dc:creator>ASUS</dc:creator>
  <dc:description/>
  <dc:language>en-US</dc:language>
  <cp:lastModifiedBy/>
  <dcterms:modified xsi:type="dcterms:W3CDTF">2026-06-30T15:15:46Z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